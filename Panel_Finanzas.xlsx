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" sheetId="1" r:id="rId5"/>
    <sheet state="visible" name="MOVIMIENTOS" sheetId="2" r:id="rId6"/>
    <sheet state="visible" name="COLILLAS DE PAGO" sheetId="3" r:id="rId7"/>
    <sheet state="visible" name="AHORROS" sheetId="4" r:id="rId8"/>
    <sheet state="visible" name="CONTROL FIJOS" sheetId="5" r:id="rId9"/>
    <sheet state="visible" name="PRESUPUESTO Y ALERTAS" sheetId="6" r:id="rId10"/>
    <sheet state="visible" name="ANÁLISIS" sheetId="7" r:id="rId11"/>
    <sheet state="visible" name="PATRIMONIO NETO" sheetId="8" r:id="rId12"/>
    <sheet state="visible" name="HISTORICO FIJOS" sheetId="9" r:id="rId13"/>
    <sheet state="visible" name="METAS AHORRO" sheetId="10" r:id="rId14"/>
    <sheet state="visible" name="CUENTAS POR COBRAR" sheetId="11" r:id="rId15"/>
    <sheet state="visible" name="CATEGORIAS" sheetId="12" r:id="rId16"/>
    <sheet state="visible" name="REGLAS_COMERCIOS" sheetId="13" r:id="rId17"/>
    <sheet state="visible" name="GUIA_SISTEMA" sheetId="14" r:id="rId18"/>
  </sheets>
  <definedNames/>
  <calcPr/>
</workbook>
</file>

<file path=xl/sharedStrings.xml><?xml version="1.0" encoding="utf-8"?>
<sst xmlns="http://schemas.openxmlformats.org/spreadsheetml/2006/main" count="5149" uniqueCount="1424">
  <si>
    <t>🏛️ CENTRO DE CONTROL FINANCIERO — MARLON MUÑOZ</t>
  </si>
  <si>
    <t>📅 AÑO:</t>
  </si>
  <si>
    <t>🔍 MES:</t>
  </si>
  <si>
    <t>octubre</t>
  </si>
  <si>
    <t>⚡ Sincronización Automática en Tiempo Real  •  Bot de Telegram  •  Facturación Gmail  •  Nómina y Ahorros Colanta</t>
  </si>
  <si>
    <t>INGRESO TOTAL DEL MES</t>
  </si>
  <si>
    <t>GASTO TOTAL DEL MES</t>
  </si>
  <si>
    <t>AHORRO DEL PERÍODO (COLANTA)</t>
  </si>
  <si>
    <t>DISPONIBLE LIBRE EN CAJA</t>
  </si>
  <si>
    <t>AHORROS POR TIPO — FONDO COLANTA</t>
  </si>
  <si>
    <t>AUDITORÍA NÓMINA COLANTA &amp; FLUJO DE CAJA</t>
  </si>
  <si>
    <t>Tipo de Ahorro</t>
  </si>
  <si>
    <t>Mes Seleccionado ($)</t>
  </si>
  <si>
    <t>Acumulado Total ($)</t>
  </si>
  <si>
    <t>% Participación</t>
  </si>
  <si>
    <t>Concepto Nómina / Flujo</t>
  </si>
  <si>
    <t>Monto ($ COP)</t>
  </si>
  <si>
    <t>Impacto</t>
  </si>
  <si>
    <t>Detalle Operativo</t>
  </si>
  <si>
    <t>Ahorro Ordinario</t>
  </si>
  <si>
    <t>Total Devengado Colanta</t>
  </si>
  <si>
    <t>(+) Ingreso Bruto</t>
  </si>
  <si>
    <t>Salario base + recargos</t>
  </si>
  <si>
    <t>Ahorro Navideño</t>
  </si>
  <si>
    <t>Salud y Pensión Ley (8%)</t>
  </si>
  <si>
    <t>(-) Deducción Ley</t>
  </si>
  <si>
    <t>EPS Sura + Porvenir</t>
  </si>
  <si>
    <t>Aportes Cooperativos</t>
  </si>
  <si>
    <t>Ahorros Nómina Colanta</t>
  </si>
  <si>
    <t>(🐷) Reserva</t>
  </si>
  <si>
    <t>Deducción Fondo Colanta</t>
  </si>
  <si>
    <t>Aporte Afiliación / Otros</t>
  </si>
  <si>
    <t>Neto Consignado Colanta</t>
  </si>
  <si>
    <t>(=) Consignado</t>
  </si>
  <si>
    <t>Ingreso efectivo AyC Colanta</t>
  </si>
  <si>
    <t>TOTAL AHORROS COLANTA</t>
  </si>
  <si>
    <t>Compromisos Fijos Abiertos</t>
  </si>
  <si>
    <t>(-) Obligación</t>
  </si>
  <si>
    <t>Pendiente por pagar en el mes</t>
  </si>
  <si>
    <t>CONTROL PRESUPUESTAL POR CATEGORÍA</t>
  </si>
  <si>
    <t>INDICADORES DE COBERTURA MENSUAL</t>
  </si>
  <si>
    <t>Categoría</t>
  </si>
  <si>
    <t>Gasto Real ($)</t>
  </si>
  <si>
    <t>Límite ($)</t>
  </si>
  <si>
    <t>% Uso</t>
  </si>
  <si>
    <t>Semáforo</t>
  </si>
  <si>
    <t>Desvío</t>
  </si>
  <si>
    <t>Total Cuotas Programadas</t>
  </si>
  <si>
    <t>Alimentación</t>
  </si>
  <si>
    <t>Total Pagado / Abonado</t>
  </si>
  <si>
    <t>ARRIENDO CASA</t>
  </si>
  <si>
    <t>Saldo Pendiente de Pago</t>
  </si>
  <si>
    <t>Servicios Públicos</t>
  </si>
  <si>
    <t>Obligaciones Pagadas</t>
  </si>
  <si>
    <t>Transporte y Moto</t>
  </si>
  <si>
    <t>Abonos Parciales</t>
  </si>
  <si>
    <t>Gastos Hormiga / Dulces</t>
  </si>
  <si>
    <t>Obligaciones Pendientes</t>
  </si>
  <si>
    <t>Ocio y Entretenimiento</t>
  </si>
  <si>
    <t>Compromisos Q1 (Día &lt;=15)</t>
  </si>
  <si>
    <t>Suscripciones</t>
  </si>
  <si>
    <t>Compromisos Q2 (Día &gt;15)</t>
  </si>
  <si>
    <t>Compras</t>
  </si>
  <si>
    <t>Estado Cobertura Mes</t>
  </si>
  <si>
    <t>Otras categorías sin presupuesto</t>
  </si>
  <si>
    <t>BALANZA Y FLUJO DE CAJA QUINCENAL ESTIMADO (COLANTA)</t>
  </si>
  <si>
    <t>RADAR DE GASTOS HORMIGA &amp; FUGAS DEL MES</t>
  </si>
  <si>
    <t>Período / Quincena</t>
  </si>
  <si>
    <t>Ingreso Est. ($)</t>
  </si>
  <si>
    <t>Fijos Est. ($)</t>
  </si>
  <si>
    <t>Gastos Var. ($)</t>
  </si>
  <si>
    <t>Caja Libre ($)</t>
  </si>
  <si>
    <t>Métrica de Control</t>
  </si>
  <si>
    <t>Monto / Valor</t>
  </si>
  <si>
    <t>Diagnóstico</t>
  </si>
  <si>
    <t>Quincena 1 (Día 1-15)</t>
  </si>
  <si>
    <t>Gasto Hormiga del Mes</t>
  </si>
  <si>
    <t>Impacto en caja</t>
  </si>
  <si>
    <t>Quincena 2 (Día 16-30)</t>
  </si>
  <si>
    <t>N° Compras Hormiga</t>
  </si>
  <si>
    <t>Frecuencia de compra</t>
  </si>
  <si>
    <t>Consolidado Mes Libre</t>
  </si>
  <si>
    <t>Ticket Promedio por Antojo</t>
  </si>
  <si>
    <t>📊 Promedio</t>
  </si>
  <si>
    <t>Costo medio por microgasto</t>
  </si>
  <si>
    <t>% Impacto vs. Ahorro Colanta</t>
  </si>
  <si>
    <t>Equivalente de tu ahorro</t>
  </si>
  <si>
    <t>🎄 PROYECCIÓN CIERRE DE AÑO 2026 (FIN DE AÑO MARLON)</t>
  </si>
  <si>
    <t>💳 ARQUEO DE LIQUIDEZ POR CUENTA / BOLSILLO</t>
  </si>
  <si>
    <t>Concepto de Cierre 2026</t>
  </si>
  <si>
    <t>Fecha Estimada</t>
  </si>
  <si>
    <t>Monto Proyectado ($)</t>
  </si>
  <si>
    <t>Impacto / Destino</t>
  </si>
  <si>
    <t>Cuenta / Depósito</t>
  </si>
  <si>
    <t>Monto ($)</t>
  </si>
  <si>
    <t>Estado</t>
  </si>
  <si>
    <t>Tipo de Acceso</t>
  </si>
  <si>
    <t>Entrega Ahorro Navideño Colanta</t>
  </si>
  <si>
    <t>01/12/2026</t>
  </si>
  <si>
    <t>Liquidación de fondo contractual</t>
  </si>
  <si>
    <t>🥛 AyC Colanta (Nómina)</t>
  </si>
  <si>
    <t>🟢 Activa</t>
  </si>
  <si>
    <t>Ahorro / Nómina</t>
  </si>
  <si>
    <t>Prima Legal de Servicios (Diciembre)</t>
  </si>
  <si>
    <t>20/12/2026</t>
  </si>
  <si>
    <t>Beneficio legal semestral Colanta</t>
  </si>
  <si>
    <t>📱 Nequi</t>
  </si>
  <si>
    <t>Móvil / Inmediato</t>
  </si>
  <si>
    <t>Ahorros Totales Colanta Acumulados</t>
  </si>
  <si>
    <t>31/12/2026</t>
  </si>
  <si>
    <t>Patrimonio acumulado en la cooperativa</t>
  </si>
  <si>
    <t>💵 Efectivo</t>
  </si>
  <si>
    <t>🟢 Disponible</t>
  </si>
  <si>
    <t>Efectivo Mano</t>
  </si>
  <si>
    <t>Total Liquidez Extra Proyectada Diciembre</t>
  </si>
  <si>
    <t>Capital disponible fin de año</t>
  </si>
  <si>
    <t>📦 Total Liquidez Inmediata</t>
  </si>
  <si>
    <t>💎 Consolidado</t>
  </si>
  <si>
    <t>Disponibilidad Total</t>
  </si>
  <si>
    <t>💳 REGISTRO MAESTRO DE MOVIMIENTOS</t>
  </si>
  <si>
    <t>Bitácora contable sincronizada con bot de Telegram y clasificación automática de gastos.</t>
  </si>
  <si>
    <t>ID</t>
  </si>
  <si>
    <t>Fecha</t>
  </si>
  <si>
    <t>Hora</t>
  </si>
  <si>
    <t>Tipo</t>
  </si>
  <si>
    <t>Subcategoría</t>
  </si>
  <si>
    <t>Descripción</t>
  </si>
  <si>
    <t>Valor ($ COP)</t>
  </si>
  <si>
    <t>Método de Pago</t>
  </si>
  <si>
    <t>Cuenta / Origen</t>
  </si>
  <si>
    <t>Mes</t>
  </si>
  <si>
    <t>Año</t>
  </si>
  <si>
    <t>Comprobante / Ref</t>
  </si>
  <si>
    <t>Notas</t>
  </si>
  <si>
    <t>_IndexFiltro</t>
  </si>
  <si>
    <t>Quincena</t>
  </si>
  <si>
    <t>M-0255</t>
  </si>
  <si>
    <t>05:58 PM</t>
  </si>
  <si>
    <t>Gasto</t>
  </si>
  <si>
    <t>Entretenimiento</t>
  </si>
  <si>
    <t>Pago fijo</t>
  </si>
  <si>
    <t>Spotify - Factura octubre 2026</t>
  </si>
  <si>
    <t>Tarjeta Nequi</t>
  </si>
  <si>
    <t>Nequi</t>
  </si>
  <si>
    <t>Gmail</t>
  </si>
  <si>
    <t>PAGO_FIJO|F-0114|octubre|2026|REF:GPA.3333-4099-9556-15284..13</t>
  </si>
  <si>
    <t>M-0242</t>
  </si>
  <si>
    <t>01:22 PM</t>
  </si>
  <si>
    <t>Videojuegos / Eneba</t>
  </si>
  <si>
    <t>Compra en Eneba por E-Wallet / EBANX</t>
  </si>
  <si>
    <t>Tarjeta</t>
  </si>
  <si>
    <t>Bancolombia</t>
  </si>
  <si>
    <t>GMAIL:1a117998a2bbdde6|REF:783dcfda-c27b-11f1-8fdf-6e753a749966</t>
  </si>
  <si>
    <t>M-0241</t>
  </si>
  <si>
    <t>07:07 PM</t>
  </si>
  <si>
    <t>Moto</t>
  </si>
  <si>
    <t>Mantenimiento</t>
  </si>
  <si>
    <t>Lavada de Moto</t>
  </si>
  <si>
    <t>Transferencia</t>
  </si>
  <si>
    <t>Telegram</t>
  </si>
  <si>
    <t>M-0240</t>
  </si>
  <si>
    <t>Gasolina</t>
  </si>
  <si>
    <t>Tanqueada de Gasolina para Moto</t>
  </si>
  <si>
    <t>M-0238</t>
  </si>
  <si>
    <t>10:09 PM</t>
  </si>
  <si>
    <t>Gasolina moto</t>
  </si>
  <si>
    <t>M-0237</t>
  </si>
  <si>
    <t>09:57 PM</t>
  </si>
  <si>
    <t>General</t>
  </si>
  <si>
    <t>Endulzada de amigo secreto</t>
  </si>
  <si>
    <t>Efectivo</t>
  </si>
  <si>
    <t>M-0235</t>
  </si>
  <si>
    <t>09:40 PM</t>
  </si>
  <si>
    <t>Vivienda</t>
  </si>
  <si>
    <t>ARRIENDO CASA - Factura septiembre 2026</t>
  </si>
  <si>
    <t>septiembre</t>
  </si>
  <si>
    <t>PAGO_FIJO|F-0101|septiembre|2026</t>
  </si>
  <si>
    <t>M-0234</t>
  </si>
  <si>
    <t>09:38 PM</t>
  </si>
  <si>
    <t>Servicios</t>
  </si>
  <si>
    <t>CUOTA DATOS CELULAR - Factura septiembre 2026</t>
  </si>
  <si>
    <t>PAGO_FIJO|F-0100|septiembre|2026</t>
  </si>
  <si>
    <t>M-0233</t>
  </si>
  <si>
    <t>12:54 PM</t>
  </si>
  <si>
    <t>Endulzada</t>
  </si>
  <si>
    <t>M-0232</t>
  </si>
  <si>
    <t>09:42 PM</t>
  </si>
  <si>
    <t>Gasolina para moto</t>
  </si>
  <si>
    <t>M-0230</t>
  </si>
  <si>
    <t>Q1</t>
  </si>
  <si>
    <t>08:22 PM</t>
  </si>
  <si>
    <t>Ingreso</t>
  </si>
  <si>
    <t>Salario</t>
  </si>
  <si>
    <t>Nómina</t>
  </si>
  <si>
    <t>Nómina Colanta</t>
  </si>
  <si>
    <t>Transferencia / Nómina</t>
  </si>
  <si>
    <t>Colilla_Enero_Q1.pdf</t>
  </si>
  <si>
    <t>enero</t>
  </si>
  <si>
    <t>Ref Colilla: CP-0003</t>
  </si>
  <si>
    <t>M-0229</t>
  </si>
  <si>
    <t>Q2</t>
  </si>
  <si>
    <t>Colilla_Enero_Q2.pdf</t>
  </si>
  <si>
    <t>Ref Colilla: CP-0002</t>
  </si>
  <si>
    <t>M-0228</t>
  </si>
  <si>
    <t>Colilla_Febrero_Q1.pdf</t>
  </si>
  <si>
    <t>febrero</t>
  </si>
  <si>
    <t>Ref Colilla: CP-0005</t>
  </si>
  <si>
    <t>M-0227</t>
  </si>
  <si>
    <t>Colilla_Febrero_Q2.pdf</t>
  </si>
  <si>
    <t>Ref Colilla: CP-0004</t>
  </si>
  <si>
    <t>M-0226</t>
  </si>
  <si>
    <t>Colilla_Marzo_Q1.pdf</t>
  </si>
  <si>
    <t>marzo</t>
  </si>
  <si>
    <t>Ref Colilla: CP-0011</t>
  </si>
  <si>
    <t>M-0225</t>
  </si>
  <si>
    <t>Colilla_Marzo_Q2.pdf</t>
  </si>
  <si>
    <t>Ref Colilla: CP-0012</t>
  </si>
  <si>
    <t>M-0224</t>
  </si>
  <si>
    <t>Colilla_Abril_Q1.pdf</t>
  </si>
  <si>
    <t>abril</t>
  </si>
  <si>
    <t>Ref Colilla: CP-0013</t>
  </si>
  <si>
    <t>M-0223</t>
  </si>
  <si>
    <t>Colilla_Abril_Q2.pdf</t>
  </si>
  <si>
    <t>Ref Colilla: CP-0014</t>
  </si>
  <si>
    <t>M-0222</t>
  </si>
  <si>
    <t>Colilla_Mayo_Q1.pdf</t>
  </si>
  <si>
    <t>mayo</t>
  </si>
  <si>
    <t>Ref Colilla: CP-0015</t>
  </si>
  <si>
    <t>M-0221</t>
  </si>
  <si>
    <t>Colilla_Mayo_Q2.pdf</t>
  </si>
  <si>
    <t>Ref Colilla: CP-0006</t>
  </si>
  <si>
    <t>M-0220</t>
  </si>
  <si>
    <t>Colilla_Junio_Q1_Prima.pdf</t>
  </si>
  <si>
    <t>junio</t>
  </si>
  <si>
    <t>Ref Colilla: CP-0016</t>
  </si>
  <si>
    <t>M-0219</t>
  </si>
  <si>
    <t>Colilla_Junio_Q2.pdf</t>
  </si>
  <si>
    <t>Ref Colilla: CP-0017</t>
  </si>
  <si>
    <t>M-0218</t>
  </si>
  <si>
    <t>Colilla_Julio_Q1.pdf</t>
  </si>
  <si>
    <t>julio</t>
  </si>
  <si>
    <t>Ref Colilla: CP-0007</t>
  </si>
  <si>
    <t>M-0217</t>
  </si>
  <si>
    <t>Colilla_Julio_Q2.pdf</t>
  </si>
  <si>
    <t>Ref Colilla: CP-0008</t>
  </si>
  <si>
    <t>M-0216</t>
  </si>
  <si>
    <t>Colilla_Agosto_Q1.pdf</t>
  </si>
  <si>
    <t>agosto</t>
  </si>
  <si>
    <t>Ref Colilla: CP-0001</t>
  </si>
  <si>
    <t>M-0215</t>
  </si>
  <si>
    <t>08:21 PM</t>
  </si>
  <si>
    <t>Colilla_Agosto_Q2.pdf</t>
  </si>
  <si>
    <t>Ref Colilla: CP-0009</t>
  </si>
  <si>
    <t>M-0214</t>
  </si>
  <si>
    <t>Colilla_Pago_Periodo_17.pdf</t>
  </si>
  <si>
    <t>Ref Colilla: CP-0010</t>
  </si>
  <si>
    <t>M-0212</t>
  </si>
  <si>
    <t>04:24 PM</t>
  </si>
  <si>
    <t>Transporte</t>
  </si>
  <si>
    <t>Parqueadero</t>
  </si>
  <si>
    <t>Parqueadero semanal</t>
  </si>
  <si>
    <t>No especificado</t>
  </si>
  <si>
    <t>No especificada</t>
  </si>
  <si>
    <t>M-0210</t>
  </si>
  <si>
    <t>06:40 PM</t>
  </si>
  <si>
    <t>Mecato en tiendas</t>
  </si>
  <si>
    <t>M-0209</t>
  </si>
  <si>
    <t>03:20 PM</t>
  </si>
  <si>
    <t>8500 parqueadero trabajo</t>
  </si>
  <si>
    <t>M-0208</t>
  </si>
  <si>
    <t>01:33 PM</t>
  </si>
  <si>
    <t>Otros</t>
  </si>
  <si>
    <t>80 mil gastos concierto feid</t>
  </si>
  <si>
    <t>M-0207</t>
  </si>
  <si>
    <t>02:05 PM</t>
  </si>
  <si>
    <t>22 mil pesos corte cabello</t>
  </si>
  <si>
    <t>M-0206</t>
  </si>
  <si>
    <t>11:43 AM</t>
  </si>
  <si>
    <t>8 mil recarga cívica metro</t>
  </si>
  <si>
    <t>M-0205</t>
  </si>
  <si>
    <t>8 mil didi moto transporte</t>
  </si>
  <si>
    <t>M-0204</t>
  </si>
  <si>
    <t>05:37 AM</t>
  </si>
  <si>
    <t>90 mil arreglo moto</t>
  </si>
  <si>
    <t>M-0203</t>
  </si>
  <si>
    <t>07:50 PM</t>
  </si>
  <si>
    <t>31 mil pesos gasolina moto</t>
  </si>
  <si>
    <t>M-0202</t>
  </si>
  <si>
    <t>06:29 PM</t>
  </si>
  <si>
    <t>Lácteos y Colanta</t>
  </si>
  <si>
    <t>Factura Electrónica DIAN COOPERATIVA COLANTA 804P222666</t>
  </si>
  <si>
    <t>AyC Colanta</t>
  </si>
  <si>
    <t>GMAIL:1a0d095b21a6f468|REF:804P222666</t>
  </si>
  <si>
    <t>M-0201</t>
  </si>
  <si>
    <t>04:45 PM</t>
  </si>
  <si>
    <t>Parqueadero Trabajo Semana - Abono parcial</t>
  </si>
  <si>
    <t>PAGO_FIJO|F-0095|septiembre|2026</t>
  </si>
  <si>
    <t>M-0200</t>
  </si>
  <si>
    <t>12:34 PM</t>
  </si>
  <si>
    <t>Factura Electrónica DIAN COOPERATIVA COLANTA 454A263995</t>
  </si>
  <si>
    <t>GMAIL:1a0c507a4abf1b35|REF:454A263995</t>
  </si>
  <si>
    <t>M-0199</t>
  </si>
  <si>
    <t>09:33 PM</t>
  </si>
  <si>
    <t>Google One - Pago mensual</t>
  </si>
  <si>
    <t>PAGO_FIJO|F-0102|septiembre|2026</t>
  </si>
  <si>
    <t>M-0198</t>
  </si>
  <si>
    <t>09:32 PM</t>
  </si>
  <si>
    <t>EPM ENERGIA - Pago mensual</t>
  </si>
  <si>
    <t>PAGO_FIJO|F-0092|septiembre|2026</t>
  </si>
  <si>
    <t>M-0197</t>
  </si>
  <si>
    <t>18/09/2026</t>
  </si>
  <si>
    <t>06:19 PM</t>
  </si>
  <si>
    <t>Factura Electrónica DIAN COOPERATIVA COLANTA 454A262115</t>
  </si>
  <si>
    <t>Factura Electrónica</t>
  </si>
  <si>
    <t>M-0196</t>
  </si>
  <si>
    <t>17/09/2026</t>
  </si>
  <si>
    <t>10:15 AM</t>
  </si>
  <si>
    <t>Compre un teclado para el trabajo en 70 mil pesos</t>
  </si>
  <si>
    <t>M-0189</t>
  </si>
  <si>
    <t>15/09/2026</t>
  </si>
  <si>
    <t>10:19 PM</t>
  </si>
  <si>
    <t>Supermercado</t>
  </si>
  <si>
    <t>Pago PSE en P.A. ADDI Descripción</t>
  </si>
  <si>
    <t>PSE</t>
  </si>
  <si>
    <t>M-0188</t>
  </si>
  <si>
    <t>09:05 PM</t>
  </si>
  <si>
    <t>Nómina Colanta - 1ra Quincena de Septiembre 2026 (Periodo 17)</t>
  </si>
  <si>
    <t>Colilla Nómina</t>
  </si>
  <si>
    <t>M-0187</t>
  </si>
  <si>
    <t>04:15 PM</t>
  </si>
  <si>
    <t>Parqueadero trabajo semana - abono</t>
  </si>
  <si>
    <t>M-0186</t>
  </si>
  <si>
    <t>07:10 AM</t>
  </si>
  <si>
    <t>Spotify</t>
  </si>
  <si>
    <t>M-0185</t>
  </si>
  <si>
    <t>14/09/2026</t>
  </si>
  <si>
    <t>02:04 AM</t>
  </si>
  <si>
    <t>Comercio electrónico</t>
  </si>
  <si>
    <t>Pago a DLOCAL COLOMBIA SAS por Nequi</t>
  </si>
  <si>
    <t>M-0182</t>
  </si>
  <si>
    <t>11:41 AM</t>
  </si>
  <si>
    <t>50 mil comida rápida san felix</t>
  </si>
  <si>
    <t>M-0181</t>
  </si>
  <si>
    <t>05:41 AM</t>
  </si>
  <si>
    <t>105 mil flores salo</t>
  </si>
  <si>
    <t>M-0180</t>
  </si>
  <si>
    <t>10/09/2026</t>
  </si>
  <si>
    <t>11:42 PM</t>
  </si>
  <si>
    <t>62 mil granizados</t>
  </si>
  <si>
    <t>M-0184</t>
  </si>
  <si>
    <t>09/09/2026</t>
  </si>
  <si>
    <t>03:04 PM</t>
  </si>
  <si>
    <t>Factura Electrónica DIAN COOPERATIVA COLANTA 108P170676</t>
  </si>
  <si>
    <t>M-0179</t>
  </si>
  <si>
    <t>09:04 PM</t>
  </si>
  <si>
    <t>Arreglo de llanta ponchada de moto</t>
  </si>
  <si>
    <t>M-0178</t>
  </si>
  <si>
    <t>07:08 AM</t>
  </si>
  <si>
    <t>20 mil Didi moto</t>
  </si>
  <si>
    <t>M-0177</t>
  </si>
  <si>
    <t>68 mil regalo para salo</t>
  </si>
  <si>
    <t>M-0176</t>
  </si>
  <si>
    <t>08/09/2026</t>
  </si>
  <si>
    <t>07:19 PM</t>
  </si>
  <si>
    <t>COMIDA</t>
  </si>
  <si>
    <t>M-0175</t>
  </si>
  <si>
    <t>07:18 PM</t>
  </si>
  <si>
    <t>Snacks y Postres</t>
  </si>
  <si>
    <t>Compra de helado</t>
  </si>
  <si>
    <t>M-0174</t>
  </si>
  <si>
    <t>05/09/2026</t>
  </si>
  <si>
    <t>03:25 PM</t>
  </si>
  <si>
    <t>Helado</t>
  </si>
  <si>
    <t>Envío a LUZ ROMERO</t>
  </si>
  <si>
    <t>M-0173</t>
  </si>
  <si>
    <t>Lavado</t>
  </si>
  <si>
    <t>Lavado de la moto</t>
  </si>
  <si>
    <t>M-0172</t>
  </si>
  <si>
    <t>11:32 AM</t>
  </si>
  <si>
    <t>Restaurante</t>
  </si>
  <si>
    <t>Compra de pizza con amigos</t>
  </si>
  <si>
    <t>M-0171</t>
  </si>
  <si>
    <t>02/09/2026</t>
  </si>
  <si>
    <t>10:10 PM</t>
  </si>
  <si>
    <t>Pastillas Garganta</t>
  </si>
  <si>
    <t>Envío a ROCIO ESTRADA</t>
  </si>
  <si>
    <t>M-0170</t>
  </si>
  <si>
    <t>10:04 PM</t>
  </si>
  <si>
    <t>Parqueadero en Parqueadero fenix parking</t>
  </si>
  <si>
    <t>M-0168</t>
  </si>
  <si>
    <t>M-0167</t>
  </si>
  <si>
    <t>M-0166</t>
  </si>
  <si>
    <t>M-0165</t>
  </si>
  <si>
    <t>Compra en MERCATODO</t>
  </si>
  <si>
    <t>M-0164</t>
  </si>
  <si>
    <t>31/08/2026</t>
  </si>
  <si>
    <t>12:22 PM</t>
  </si>
  <si>
    <t>Google One</t>
  </si>
  <si>
    <t>M-0163</t>
  </si>
  <si>
    <t>12:13 PM</t>
  </si>
  <si>
    <t>CUOTA DATOS CELULAR</t>
  </si>
  <si>
    <t>M-0162</t>
  </si>
  <si>
    <t>05:49 AM</t>
  </si>
  <si>
    <t>M-0161</t>
  </si>
  <si>
    <t>30/08/2026</t>
  </si>
  <si>
    <t>01:09 PM</t>
  </si>
  <si>
    <t>Perfumes</t>
  </si>
  <si>
    <t>Compra de 2 perfumes</t>
  </si>
  <si>
    <t>M-0150</t>
  </si>
  <si>
    <t>28/08/2026</t>
  </si>
  <si>
    <t>08:25 PM</t>
  </si>
  <si>
    <t>Gasolina Moto</t>
  </si>
  <si>
    <t>M-0142</t>
  </si>
  <si>
    <t>01:06 PM</t>
  </si>
  <si>
    <t>Abono</t>
  </si>
  <si>
    <t>Abono gasto fijo</t>
  </si>
  <si>
    <t>Parqueadero Trabajo Semana - abono</t>
  </si>
  <si>
    <t>M-0141</t>
  </si>
  <si>
    <t>27/08/2026</t>
  </si>
  <si>
    <t>12:37 PM</t>
  </si>
  <si>
    <t>Envío a por Bre</t>
  </si>
  <si>
    <t>M-0140</t>
  </si>
  <si>
    <t>12:31 PM</t>
  </si>
  <si>
    <t>M-0139</t>
  </si>
  <si>
    <t>25/08/2026</t>
  </si>
  <si>
    <t>05:21 PM</t>
  </si>
  <si>
    <t>M-0138</t>
  </si>
  <si>
    <t>24/08/2026</t>
  </si>
  <si>
    <t>07:00 PM</t>
  </si>
  <si>
    <t>M-0137</t>
  </si>
  <si>
    <t>04:27 PM</t>
  </si>
  <si>
    <t>M-0136</t>
  </si>
  <si>
    <t>10:08 AM</t>
  </si>
  <si>
    <t>M-0020</t>
  </si>
  <si>
    <t>21/08/2026</t>
  </si>
  <si>
    <t>06:43 PM</t>
  </si>
  <si>
    <t>PARQUEADERO MOTO</t>
  </si>
  <si>
    <t>M-0019</t>
  </si>
  <si>
    <t>M-0018</t>
  </si>
  <si>
    <t>20/08/2026</t>
  </si>
  <si>
    <t>05:05 PM</t>
  </si>
  <si>
    <t>M-0017</t>
  </si>
  <si>
    <t>19/08/2026</t>
  </si>
  <si>
    <t>07:31 PM</t>
  </si>
  <si>
    <t>Compra de pastillas freno para moto</t>
  </si>
  <si>
    <t>M-0016</t>
  </si>
  <si>
    <t>04:26 PM</t>
  </si>
  <si>
    <t>M-0015</t>
  </si>
  <si>
    <t>04:21 PM</t>
  </si>
  <si>
    <t>M-0014</t>
  </si>
  <si>
    <t>18/08/2026</t>
  </si>
  <si>
    <t>04:34 PM</t>
  </si>
  <si>
    <t>Mercado</t>
  </si>
  <si>
    <t>Compra de envío Bre-B a MERCATODO</t>
  </si>
  <si>
    <t>M-0013</t>
  </si>
  <si>
    <t>04:14 PM</t>
  </si>
  <si>
    <t>Parqueadero parqueadero Trabajo</t>
  </si>
  <si>
    <t>M-0012</t>
  </si>
  <si>
    <t>17/08/2026</t>
  </si>
  <si>
    <t>06:25 PM</t>
  </si>
  <si>
    <t>M-0011</t>
  </si>
  <si>
    <t>16/08/2026</t>
  </si>
  <si>
    <t>11:27 AM</t>
  </si>
  <si>
    <t>Amazon</t>
  </si>
  <si>
    <t>Compra de a P.A. ADDI</t>
  </si>
  <si>
    <t>M-0010</t>
  </si>
  <si>
    <t>10:26 AM</t>
  </si>
  <si>
    <t>Servicios Agua</t>
  </si>
  <si>
    <t>M-0009</t>
  </si>
  <si>
    <t>15/08/2026</t>
  </si>
  <si>
    <t>07:37 PM</t>
  </si>
  <si>
    <t>Internet Tigo</t>
  </si>
  <si>
    <t>M-0008</t>
  </si>
  <si>
    <t>07:12 PM</t>
  </si>
  <si>
    <t>Compra de mantenimiento moto</t>
  </si>
  <si>
    <t>M-0007</t>
  </si>
  <si>
    <t>07:08 PM</t>
  </si>
  <si>
    <t>Parqueadero Trabajo Semana</t>
  </si>
  <si>
    <t>M-0005</t>
  </si>
  <si>
    <t>06:58 PM</t>
  </si>
  <si>
    <t>M-0004</t>
  </si>
  <si>
    <t>06:39 PM</t>
  </si>
  <si>
    <t>M-0002</t>
  </si>
  <si>
    <t>10:07 AM</t>
  </si>
  <si>
    <t>M-0001</t>
  </si>
  <si>
    <t>14/08/2026</t>
  </si>
  <si>
    <t>07:52 PM</t>
  </si>
  <si>
    <t>Aplicaciones</t>
  </si>
  <si>
    <t>Compra de telegram Premium (One Week)</t>
  </si>
  <si>
    <t>M-0149</t>
  </si>
  <si>
    <t>31/07/2026</t>
  </si>
  <si>
    <t>05:10 PM</t>
  </si>
  <si>
    <t>M-0135</t>
  </si>
  <si>
    <t>12:00 PM</t>
  </si>
  <si>
    <t>Importación manual</t>
  </si>
  <si>
    <t>M-0134</t>
  </si>
  <si>
    <t>M-0133</t>
  </si>
  <si>
    <t>M-0132</t>
  </si>
  <si>
    <t>M-0131</t>
  </si>
  <si>
    <t>Servicio fijo</t>
  </si>
  <si>
    <t>M-0130</t>
  </si>
  <si>
    <t>Arriendo</t>
  </si>
  <si>
    <t>M-0148</t>
  </si>
  <si>
    <t>15/07/2026</t>
  </si>
  <si>
    <t>05:09 PM</t>
  </si>
  <si>
    <t>M-0129</t>
  </si>
  <si>
    <t>M-0128</t>
  </si>
  <si>
    <t>Suscripción</t>
  </si>
  <si>
    <t>M-0127</t>
  </si>
  <si>
    <t>M-0126</t>
  </si>
  <si>
    <t>M-0125</t>
  </si>
  <si>
    <t>M-0124</t>
  </si>
  <si>
    <t>M-0123</t>
  </si>
  <si>
    <t>M-0122</t>
  </si>
  <si>
    <t>M-0121</t>
  </si>
  <si>
    <t>EPM Energia</t>
  </si>
  <si>
    <t>M-0120</t>
  </si>
  <si>
    <t>30/06/2026</t>
  </si>
  <si>
    <t>M-0118</t>
  </si>
  <si>
    <t>M-0117</t>
  </si>
  <si>
    <t>M-0116</t>
  </si>
  <si>
    <t>M-0115</t>
  </si>
  <si>
    <t>Internet Movil - Datos</t>
  </si>
  <si>
    <t>M-0114</t>
  </si>
  <si>
    <t>M-0113</t>
  </si>
  <si>
    <t>M-0119</t>
  </si>
  <si>
    <t>15/06/2026</t>
  </si>
  <si>
    <t>M-0112</t>
  </si>
  <si>
    <t>M-0111</t>
  </si>
  <si>
    <t>M-0110</t>
  </si>
  <si>
    <t>M-0109</t>
  </si>
  <si>
    <t>M-0108</t>
  </si>
  <si>
    <t>M-0107</t>
  </si>
  <si>
    <t>Deuda</t>
  </si>
  <si>
    <t>Cuota</t>
  </si>
  <si>
    <t>Cuota Finca</t>
  </si>
  <si>
    <t>M-0106</t>
  </si>
  <si>
    <t>Ropa</t>
  </si>
  <si>
    <t>M-0105</t>
  </si>
  <si>
    <t>M-0104</t>
  </si>
  <si>
    <t>Cosas Para el hogar</t>
  </si>
  <si>
    <t>M-0103</t>
  </si>
  <si>
    <t>M-0102</t>
  </si>
  <si>
    <t>Teclado y Mouse</t>
  </si>
  <si>
    <t>M-0101</t>
  </si>
  <si>
    <t>M-0100</t>
  </si>
  <si>
    <t>Finalizacion Cuota Agaval</t>
  </si>
  <si>
    <t>M-0099</t>
  </si>
  <si>
    <t>Abono Cuota Addi</t>
  </si>
  <si>
    <t>M-0098</t>
  </si>
  <si>
    <t>M-0147</t>
  </si>
  <si>
    <t>31/05/2026</t>
  </si>
  <si>
    <t>05:04 PM</t>
  </si>
  <si>
    <t>M-0096</t>
  </si>
  <si>
    <t>M-0095</t>
  </si>
  <si>
    <t>M-0094</t>
  </si>
  <si>
    <t>M-0093</t>
  </si>
  <si>
    <t>TIGO DATOS</t>
  </si>
  <si>
    <t>M-0092</t>
  </si>
  <si>
    <t>CUOTA AGAVAL</t>
  </si>
  <si>
    <t>M-0091</t>
  </si>
  <si>
    <t>M-0097</t>
  </si>
  <si>
    <t>15/05/2026</t>
  </si>
  <si>
    <t>M-0090</t>
  </si>
  <si>
    <t>M-0089</t>
  </si>
  <si>
    <t>M-0088</t>
  </si>
  <si>
    <t>Familia</t>
  </si>
  <si>
    <t>Para Mama</t>
  </si>
  <si>
    <t>M-0087</t>
  </si>
  <si>
    <t>Cuota Addi Galaxy Buds</t>
  </si>
  <si>
    <t>M-0086</t>
  </si>
  <si>
    <t>Ahorro</t>
  </si>
  <si>
    <t>Meta personal</t>
  </si>
  <si>
    <t>Metas Nequi</t>
  </si>
  <si>
    <t>M-0085</t>
  </si>
  <si>
    <t>M-0084</t>
  </si>
  <si>
    <t>M-0083</t>
  </si>
  <si>
    <t>Casco Moto Urgente - Dañado</t>
  </si>
  <si>
    <t>M-0082</t>
  </si>
  <si>
    <t>M-0081</t>
  </si>
  <si>
    <t>M-0080</t>
  </si>
  <si>
    <t>M-0079</t>
  </si>
  <si>
    <t>30/04/2026</t>
  </si>
  <si>
    <t>M-0077</t>
  </si>
  <si>
    <t>M-0076</t>
  </si>
  <si>
    <t>M-0075</t>
  </si>
  <si>
    <t>Trámite</t>
  </si>
  <si>
    <t>Libreta Militar</t>
  </si>
  <si>
    <t>M-0074</t>
  </si>
  <si>
    <t>Metas Nequi Total</t>
  </si>
  <si>
    <t>M-0073</t>
  </si>
  <si>
    <t>Resonador Moto</t>
  </si>
  <si>
    <t>M-0072</t>
  </si>
  <si>
    <t>M-0071</t>
  </si>
  <si>
    <t>Datos Moviles - Tigo</t>
  </si>
  <si>
    <t>M-0070</t>
  </si>
  <si>
    <t>M-0069</t>
  </si>
  <si>
    <t>M-0078</t>
  </si>
  <si>
    <t>15/04/2026</t>
  </si>
  <si>
    <t>M-0068</t>
  </si>
  <si>
    <t>M-0067</t>
  </si>
  <si>
    <t>M-0066</t>
  </si>
  <si>
    <t>M-0065</t>
  </si>
  <si>
    <t>Repuestos Moto Akt</t>
  </si>
  <si>
    <t>M-0064</t>
  </si>
  <si>
    <t>M-0063</t>
  </si>
  <si>
    <t>Cuidado personal</t>
  </si>
  <si>
    <t>Antisolar</t>
  </si>
  <si>
    <t>M-0062</t>
  </si>
  <si>
    <t>Carne Res</t>
  </si>
  <si>
    <t>M-0061</t>
  </si>
  <si>
    <t>M-0060</t>
  </si>
  <si>
    <t>Arreglo Ropa</t>
  </si>
  <si>
    <t>M-0058</t>
  </si>
  <si>
    <t>Parqueadero Trabajo</t>
  </si>
  <si>
    <t>M-0057</t>
  </si>
  <si>
    <t>Pedido Temu</t>
  </si>
  <si>
    <t>M-0056</t>
  </si>
  <si>
    <t>M-0055</t>
  </si>
  <si>
    <t>M-0054</t>
  </si>
  <si>
    <t>31/03/2026</t>
  </si>
  <si>
    <t>M-0052</t>
  </si>
  <si>
    <t>M-0051</t>
  </si>
  <si>
    <t>M-0050</t>
  </si>
  <si>
    <t>M-0049</t>
  </si>
  <si>
    <t>M-0048</t>
  </si>
  <si>
    <t>M-0047</t>
  </si>
  <si>
    <t>M-0046</t>
  </si>
  <si>
    <t>M-0053</t>
  </si>
  <si>
    <t>15/03/2026</t>
  </si>
  <si>
    <t>M-0045</t>
  </si>
  <si>
    <t>M-0044</t>
  </si>
  <si>
    <t>Google One - Suscripcion</t>
  </si>
  <si>
    <t>M-0043</t>
  </si>
  <si>
    <t>Suplementos</t>
  </si>
  <si>
    <t>Creatina Platinum</t>
  </si>
  <si>
    <t>M-0042</t>
  </si>
  <si>
    <t>SHEIN PEDIDO ROPA</t>
  </si>
  <si>
    <t>M-0041</t>
  </si>
  <si>
    <t>M-0040</t>
  </si>
  <si>
    <t>Zapatos Cuota</t>
  </si>
  <si>
    <t>M-0039</t>
  </si>
  <si>
    <t>M-0038</t>
  </si>
  <si>
    <t>M-0037</t>
  </si>
  <si>
    <t>COMIDA - Tienda</t>
  </si>
  <si>
    <t>M-0036</t>
  </si>
  <si>
    <t>EPM - Energia y Gas</t>
  </si>
  <si>
    <t>M-0145</t>
  </si>
  <si>
    <t>28/02/2026</t>
  </si>
  <si>
    <t>04:59 PM</t>
  </si>
  <si>
    <t>M-0035</t>
  </si>
  <si>
    <t>M-0034</t>
  </si>
  <si>
    <t>M-0033</t>
  </si>
  <si>
    <t>M-0032</t>
  </si>
  <si>
    <t>M-0031</t>
  </si>
  <si>
    <t>M-0030</t>
  </si>
  <si>
    <t>M-0146</t>
  </si>
  <si>
    <t>15/02/2026</t>
  </si>
  <si>
    <t>05:00 PM</t>
  </si>
  <si>
    <t>M-0029</t>
  </si>
  <si>
    <t>M-0028</t>
  </si>
  <si>
    <t>M-0027</t>
  </si>
  <si>
    <t>Crunchyroll</t>
  </si>
  <si>
    <t>M-0026</t>
  </si>
  <si>
    <t>M-0025</t>
  </si>
  <si>
    <t>M-0024</t>
  </si>
  <si>
    <t>M-0023</t>
  </si>
  <si>
    <t>M-0022</t>
  </si>
  <si>
    <t>M-0021</t>
  </si>
  <si>
    <t>M-0160</t>
  </si>
  <si>
    <t>31/01/2026</t>
  </si>
  <si>
    <t>0.5</t>
  </si>
  <si>
    <t>Parqueadero Moto Fin de Mes</t>
  </si>
  <si>
    <t>Ajuste histórico</t>
  </si>
  <si>
    <t>M-0159</t>
  </si>
  <si>
    <t>Parqueadero Trabajo Fin de Mes</t>
  </si>
  <si>
    <t>M-0158</t>
  </si>
  <si>
    <t>Gasolina Moto Fin de Mes</t>
  </si>
  <si>
    <t>M-0157</t>
  </si>
  <si>
    <t>Cuota Datos Celular</t>
  </si>
  <si>
    <t>M-0156</t>
  </si>
  <si>
    <t>Arriendo Casa</t>
  </si>
  <si>
    <t>M-0143</t>
  </si>
  <si>
    <t>04:56 PM</t>
  </si>
  <si>
    <t>M-0155</t>
  </si>
  <si>
    <t>15/01/2026</t>
  </si>
  <si>
    <t>M-0154</t>
  </si>
  <si>
    <t>Gasolina Moto Quincena</t>
  </si>
  <si>
    <t>M-0153</t>
  </si>
  <si>
    <t>M-0152</t>
  </si>
  <si>
    <t>M-0151</t>
  </si>
  <si>
    <t>EPM Energía</t>
  </si>
  <si>
    <t>M-0144</t>
  </si>
  <si>
    <t>04:57 PM</t>
  </si>
  <si>
    <t>📄 AUDITORÍA DE NÓMINA — COOPERATIVA COLANTA</t>
  </si>
  <si>
    <t>Registro histórico auditable de desprendibles quincenales y liquidación de prestaciones sociales Colanta</t>
  </si>
  <si>
    <t>ID Colilla</t>
  </si>
  <si>
    <t>Período Liquidado</t>
  </si>
  <si>
    <t>Días</t>
  </si>
  <si>
    <t>Básico Quincenal ($)</t>
  </si>
  <si>
    <t>Extras y Recargos ($)</t>
  </si>
  <si>
    <t>Otros Devengados ($)</t>
  </si>
  <si>
    <t>TOTAL DEVENGADO ($)</t>
  </si>
  <si>
    <t>Salud EPS Sura ($)</t>
  </si>
  <si>
    <t>Pensión Porvenir ($)</t>
  </si>
  <si>
    <t>Fondo Empleados AyC ($)</t>
  </si>
  <si>
    <t>Otras Deducciones ($)</t>
  </si>
  <si>
    <t>NETO A COBRAR ($)</t>
  </si>
  <si>
    <t>Cuenta Consignación</t>
  </si>
  <si>
    <t>Fecha Pago Real</t>
  </si>
  <si>
    <t>Observaciones</t>
  </si>
  <si>
    <t>Ref. Documento</t>
  </si>
  <si>
    <t>CP-0018</t>
  </si>
  <si>
    <t>16/09/2026 al 30/09/2026</t>
  </si>
  <si>
    <t>Pagado</t>
  </si>
  <si>
    <t>2da Quincena Septiembre Periodo 18</t>
  </si>
  <si>
    <t>Colilla_Pago_Periodo_18.pdf</t>
  </si>
  <si>
    <t>CP-0010</t>
  </si>
  <si>
    <t>01/09/2026 al 15/09/2026</t>
  </si>
  <si>
    <t>1ra Quincena Septiembre Periodo 17</t>
  </si>
  <si>
    <t>CP-0009</t>
  </si>
  <si>
    <t>16/08/2026 al 31/08/2026</t>
  </si>
  <si>
    <t>2da Quincena Agosto Colanta</t>
  </si>
  <si>
    <t>CP-0001</t>
  </si>
  <si>
    <t>01/08/2026 al 15/08/2026</t>
  </si>
  <si>
    <t>1ra Quincena Agosto Colanta</t>
  </si>
  <si>
    <t>CP-0008</t>
  </si>
  <si>
    <t>16/07/2026 al 31/07/2026</t>
  </si>
  <si>
    <t>2da Quincena Julio Colanta</t>
  </si>
  <si>
    <t>CP-0007</t>
  </si>
  <si>
    <t>01/07/2026 al 15/07/2026</t>
  </si>
  <si>
    <t>1ra Quincena Julio Colanta</t>
  </si>
  <si>
    <t>CP-0017</t>
  </si>
  <si>
    <t>16/06/2026 al 30/06/2026</t>
  </si>
  <si>
    <t>2da Quincena Junio Colanta</t>
  </si>
  <si>
    <t>CP-0016</t>
  </si>
  <si>
    <t>01/06/2026 al 15/06/2026</t>
  </si>
  <si>
    <t>1ra Quincena Junio + Prima Colanta</t>
  </si>
  <si>
    <t>CP-0006</t>
  </si>
  <si>
    <t>16/05/2026 al 31/05/2026</t>
  </si>
  <si>
    <t>2da Quincena Mayo Colanta</t>
  </si>
  <si>
    <t>CP-0015</t>
  </si>
  <si>
    <t>01/05/2026 al 15/05/2026</t>
  </si>
  <si>
    <t>1ra Quincena Mayo Colanta</t>
  </si>
  <si>
    <t>CP-0014</t>
  </si>
  <si>
    <t>16/04/2026 al 30/04/2026</t>
  </si>
  <si>
    <t>2da Quincena Abril Colanta</t>
  </si>
  <si>
    <t>CP-0013</t>
  </si>
  <si>
    <t>01/04/2026 al 15/04/2026</t>
  </si>
  <si>
    <t>1ra Quincena Abril Colanta</t>
  </si>
  <si>
    <t>CP-0012</t>
  </si>
  <si>
    <t>16/03/2026 al 31/03/2026</t>
  </si>
  <si>
    <t>2da Quincena Marzo Colanta</t>
  </si>
  <si>
    <t>CP-0011</t>
  </si>
  <si>
    <t>01/03/2026 al 15/03/2026</t>
  </si>
  <si>
    <t>1ra Quincena Marzo Colanta</t>
  </si>
  <si>
    <t>CP-0004</t>
  </si>
  <si>
    <t>16/02/2026 al 28/02/2026</t>
  </si>
  <si>
    <t>2da Quincena Febrero Colanta</t>
  </si>
  <si>
    <t>CP-0005</t>
  </si>
  <si>
    <t>01/02/2026 al 15/02/2026</t>
  </si>
  <si>
    <t>1ra Quincena Febrero Colanta</t>
  </si>
  <si>
    <t>CP-0002</t>
  </si>
  <si>
    <t>16/01/2026 al 31/01/2026</t>
  </si>
  <si>
    <t>2da Quincena Enero Colanta</t>
  </si>
  <si>
    <t>CP-0003</t>
  </si>
  <si>
    <t>01/01/2026 al 15/01/2026</t>
  </si>
  <si>
    <t>1ra Quincena Enero Colanta</t>
  </si>
  <si>
    <t>PROYECCIÓN PRESTACIONAL LEGAL Y FONDOS ANUALES COLANTA</t>
  </si>
  <si>
    <t>Concepto Prestacional / Beneficio</t>
  </si>
  <si>
    <t>Base de Cálculo</t>
  </si>
  <si>
    <t>Fecha Legal Entrega</t>
  </si>
  <si>
    <t>Valor Proyectado ($)</t>
  </si>
  <si>
    <t>Destino Sugerido / Recomendación</t>
  </si>
  <si>
    <t>Prima Legal de Servicios (Junio)</t>
  </si>
  <si>
    <t>50% Salario Promedio Semestre I</t>
  </si>
  <si>
    <t>30 de Junio</t>
  </si>
  <si>
    <t>Ahorro / Abono a compromisos</t>
  </si>
  <si>
    <t>50% Salario Promedio Semestre II</t>
  </si>
  <si>
    <t>20 de Diciembre</t>
  </si>
  <si>
    <t>Fin de año y proyectos</t>
  </si>
  <si>
    <t>Ahorro Navideño Cooperativa Colanta</t>
  </si>
  <si>
    <t>$120.000 quincenal en nómina</t>
  </si>
  <si>
    <t>01 de Diciembre</t>
  </si>
  <si>
    <t>Entrega Fondo Colanta</t>
  </si>
  <si>
    <t>Cesantías Anuales de Ley</t>
  </si>
  <si>
    <t>1 Mes de Salario Completo por Año</t>
  </si>
  <si>
    <t>14 de Febrero (a Fondo)</t>
  </si>
  <si>
    <t>Consignación Fondo Porvenir</t>
  </si>
  <si>
    <t>Intereses a las Cesantías (12%)</t>
  </si>
  <si>
    <t>12% Anual sobre Cesantías</t>
  </si>
  <si>
    <t>31 de Enero (a Cuenta)</t>
  </si>
  <si>
    <t>Nómina de enero</t>
  </si>
  <si>
    <t>TOTAL LIQUIDEZ EXTRA PRESTACIONAL Y FONDOS ESTIMADA (AÑO)</t>
  </si>
  <si>
    <t>Capital adicional para metas y patrimonio</t>
  </si>
  <si>
    <t>🐷 FONDOS DE AHORRO Y APORTES — COOPERATIVA COLANTA</t>
  </si>
  <si>
    <t>Control de ahorros retenidos por nómina, fondo navideño y aportes cooperativos Colanta</t>
  </si>
  <si>
    <t>TOTAL ACUMULADO FONDOS COLANTA</t>
  </si>
  <si>
    <t>AHORRO MES SELECCIONADO (PANEL)</t>
  </si>
  <si>
    <t>FONDO NAVIDEÑO ACUMULADO</t>
  </si>
  <si>
    <t>Línea de Ahorro / Fondo</t>
  </si>
  <si>
    <t>Propósito / Destino</t>
  </si>
  <si>
    <t>A la vista / Fondo de emergencia personal</t>
  </si>
  <si>
    <t>Contractual / Entrega en diciembre Colanta</t>
  </si>
  <si>
    <t>Capitalización obligatoria Colanta AyC</t>
  </si>
  <si>
    <t>Fondo y beneficios de asociado</t>
  </si>
  <si>
    <t>TOTAL FONDOS COLANTA</t>
  </si>
  <si>
    <t>Patrimonio acumulado Marlon Muñoz</t>
  </si>
  <si>
    <t>ID Descuento</t>
  </si>
  <si>
    <t>Fecha Nómina</t>
  </si>
  <si>
    <t>Colilla Ref</t>
  </si>
  <si>
    <t>Línea de Ahorro</t>
  </si>
  <si>
    <t>Monto Ahorrado ($)</t>
  </si>
  <si>
    <t>Notas / Auditoría</t>
  </si>
  <si>
    <t>A-0001</t>
  </si>
  <si>
    <t>Fondo de Empleados Colanta</t>
  </si>
  <si>
    <t>Ref Colilla: CP-0001 | Ahorro Ordinario</t>
  </si>
  <si>
    <t>A-0002</t>
  </si>
  <si>
    <t>Ref Colilla: CP-0001 | Ahorro Navideño</t>
  </si>
  <si>
    <t>A-0003</t>
  </si>
  <si>
    <t>Ref Colilla: CP-0001 | Aportes Cooperativos</t>
  </si>
  <si>
    <t>A-0004</t>
  </si>
  <si>
    <t>Otros Ahorros</t>
  </si>
  <si>
    <t>Ref Colilla: CP-0001 | Otros Ahorros</t>
  </si>
  <si>
    <t>A-0005</t>
  </si>
  <si>
    <t>IMPORT_HISTORICO_MARLON_2026-08-20</t>
  </si>
  <si>
    <t>A-0006</t>
  </si>
  <si>
    <t>A-0007</t>
  </si>
  <si>
    <t>A-0008</t>
  </si>
  <si>
    <t>A-0009</t>
  </si>
  <si>
    <t>A-0010</t>
  </si>
  <si>
    <t>A-0011</t>
  </si>
  <si>
    <t>A-0012</t>
  </si>
  <si>
    <t>A-0013</t>
  </si>
  <si>
    <t>A-0014</t>
  </si>
  <si>
    <t>A-0015</t>
  </si>
  <si>
    <t>A-0016</t>
  </si>
  <si>
    <t>A-0017</t>
  </si>
  <si>
    <t>A-0018</t>
  </si>
  <si>
    <t>A-0019</t>
  </si>
  <si>
    <t>A-0020</t>
  </si>
  <si>
    <t>A-0021</t>
  </si>
  <si>
    <t>A-0022</t>
  </si>
  <si>
    <t>A-0023</t>
  </si>
  <si>
    <t>A-0024</t>
  </si>
  <si>
    <t>A-0025</t>
  </si>
  <si>
    <t>A-0026</t>
  </si>
  <si>
    <t>ref colilla: cp-0002 | ahorro ordinario</t>
  </si>
  <si>
    <t>A-0027</t>
  </si>
  <si>
    <t>ref colilla: cp-0002 | ahorro navideno</t>
  </si>
  <si>
    <t>A-0028</t>
  </si>
  <si>
    <t>ref colilla: cp-0002 | aportes cooperativos</t>
  </si>
  <si>
    <t>A-0029</t>
  </si>
  <si>
    <t>ref colilla: cp-0003 | ahorro ordinario</t>
  </si>
  <si>
    <t>A-0030</t>
  </si>
  <si>
    <t>ref colilla: cp-0003 | ahorro navideno</t>
  </si>
  <si>
    <t>A-0031</t>
  </si>
  <si>
    <t>ref colilla: cp-0003 | aportes cooperativos</t>
  </si>
  <si>
    <t>A-0032</t>
  </si>
  <si>
    <t>ref colilla: cp-0004 | ahorro ordinario</t>
  </si>
  <si>
    <t>A-0033</t>
  </si>
  <si>
    <t>ref colilla: cp-0004 | ahorro navideno</t>
  </si>
  <si>
    <t>A-0034</t>
  </si>
  <si>
    <t>ref colilla: cp-0004 | aportes cooperativos</t>
  </si>
  <si>
    <t>A-0035</t>
  </si>
  <si>
    <t>ref colilla: cp-0005 | ahorro ordinario</t>
  </si>
  <si>
    <t>A-0036</t>
  </si>
  <si>
    <t>ref colilla: cp-0005 | ahorro navideno</t>
  </si>
  <si>
    <t>A-0037</t>
  </si>
  <si>
    <t>ref colilla: cp-0005 | aportes cooperativos</t>
  </si>
  <si>
    <t>A-0038</t>
  </si>
  <si>
    <t>ref colilla: cp-0006 | ahorro ordinario</t>
  </si>
  <si>
    <t>A-0039</t>
  </si>
  <si>
    <t>ref colilla: cp-0006 | ahorro navideno</t>
  </si>
  <si>
    <t>A-0040</t>
  </si>
  <si>
    <t>ref colilla: cp-0006 | aportes cooperativos</t>
  </si>
  <si>
    <t>A-0041</t>
  </si>
  <si>
    <t>ref colilla: cp-0007 | ahorro ordinario</t>
  </si>
  <si>
    <t>A-0042</t>
  </si>
  <si>
    <t>ref colilla: cp-0007 | ahorro navideno</t>
  </si>
  <si>
    <t>A-0043</t>
  </si>
  <si>
    <t>ref colilla: cp-0007 | aportes cooperativos</t>
  </si>
  <si>
    <t>A-0044</t>
  </si>
  <si>
    <t>ref colilla: cp-0008 | ahorro ordinario</t>
  </si>
  <si>
    <t>A-0045</t>
  </si>
  <si>
    <t>ref colilla: cp-0008 | ahorro navideno</t>
  </si>
  <si>
    <t>A-0046</t>
  </si>
  <si>
    <t>ref colilla: cp-0008 | aportes cooperativos</t>
  </si>
  <si>
    <t>A-0047</t>
  </si>
  <si>
    <t>ref colilla: cp-0009 | ahorro ordinario</t>
  </si>
  <si>
    <t>A-0048</t>
  </si>
  <si>
    <t>ref colilla: cp-0009 | ahorro navideno</t>
  </si>
  <si>
    <t>A-0049</t>
  </si>
  <si>
    <t>ref colilla: cp-0009 | aportes cooperativos</t>
  </si>
  <si>
    <t>A-0050</t>
  </si>
  <si>
    <t>Ref Colilla: CP-0010 | Ahorro Ordinario | ⏰ 11:03 PM</t>
  </si>
  <si>
    <t>11:03 PM</t>
  </si>
  <si>
    <t>A-0051</t>
  </si>
  <si>
    <t>Ref Colilla: CP-0010 | Ahorro Navideño | ⏰ 11:03 PM</t>
  </si>
  <si>
    <t>A-0052</t>
  </si>
  <si>
    <t>Ref Colilla: CP-0010 | Aportes Cooperativos | ⏰ 11:03 PM</t>
  </si>
  <si>
    <t>A-0053</t>
  </si>
  <si>
    <t>Aporte Afiliación Cooperativa</t>
  </si>
  <si>
    <t>Ref Colilla: CP-0010 | Aporte Afiliación Cooperativa | ⏰ 11:03 PM</t>
  </si>
  <si>
    <t>A-0056</t>
  </si>
  <si>
    <t>ref colilla: cp-0018 | aportes cooperativos</t>
  </si>
  <si>
    <t>A-0057</t>
  </si>
  <si>
    <t>ref colilla: cp-0018 | otros ahorros</t>
  </si>
  <si>
    <t>A-0058</t>
  </si>
  <si>
    <t>Ref Colilla: CP-0018 | Ahorro Ordinario</t>
  </si>
  <si>
    <t>A-0059</t>
  </si>
  <si>
    <t>Ref Colilla: CP-0018 | Ahorro Navideño</t>
  </si>
  <si>
    <t>A-0060</t>
  </si>
  <si>
    <t>Ref Colilla: CP-0018 | Aporte Afiliación Cooperativa</t>
  </si>
  <si>
    <t>Sincronizado automáticamente con el mes y año seleccionados en el Panel Principal</t>
  </si>
  <si>
    <t>TOTAL CUOTAS MES</t>
  </si>
  <si>
    <t>TOTAL ABONADO / PAGADO</t>
  </si>
  <si>
    <t>SALDO PENDIENTE</t>
  </si>
  <si>
    <t>COMPROMISOS Q1 (DÍA &lt;=15)</t>
  </si>
  <si>
    <t>Concepto / Servicio</t>
  </si>
  <si>
    <t>Día Cobro</t>
  </si>
  <si>
    <t>Cuota Base ($)</t>
  </si>
  <si>
    <t>Abonado Mes ($)</t>
  </si>
  <si>
    <t>Fecha Último Pago</t>
  </si>
  <si>
    <t>Saldo Pendiente ($)</t>
  </si>
  <si>
    <t>Prioridad</t>
  </si>
  <si>
    <t>Medio de Pago</t>
  </si>
  <si>
    <t>Notas / Referencia</t>
  </si>
  <si>
    <t>Monitoreo automático de topes mensuales de gasto, porcentaje consumido y semáforos de alerta</t>
  </si>
  <si>
    <t>Categoría Presupuestal</t>
  </si>
  <si>
    <t>Límite Asignado ($)</t>
  </si>
  <si>
    <t>Gasto Ejecutado ($)</t>
  </si>
  <si>
    <t>Saldo Disponible ($)</t>
  </si>
  <si>
    <t>% Consumo</t>
  </si>
  <si>
    <t>Barra de Progreso</t>
  </si>
  <si>
    <t>Estado / Alerta</t>
  </si>
  <si>
    <t>Acción Recomendada</t>
  </si>
  <si>
    <t>TOTAL PRESUPUESTO MENSUAL</t>
  </si>
  <si>
    <t>Consolidado de categorías con límite</t>
  </si>
  <si>
    <t>📊 TABLERO DE INTELIGENCIA FINANCIERA Y TENDENCIAS</t>
  </si>
  <si>
    <t>Consolidado comparativo mensual de ingresos, gastos, ahorro cooperativo y flujo neto anual</t>
  </si>
  <si>
    <t>Mes / Período</t>
  </si>
  <si>
    <t>Ingresos ($)</t>
  </si>
  <si>
    <t>Gastos ($)</t>
  </si>
  <si>
    <t>Ahorro ($)</t>
  </si>
  <si>
    <t>Balance Neto ($)</t>
  </si>
  <si>
    <t>Tasa Ahorro (%)</t>
  </si>
  <si>
    <t>Salud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</si>
  <si>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</si>
  <si>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</si>
  <si>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</si>
  <si>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</si>
  <si>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</si>
  <si>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</si>
  <si>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</si>
  <si>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</si>
  <si>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</si>
  <si>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</si>
  <si>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</si>
  <si>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</si>
  <si>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>TOTAL ANUAL CONSOLIDADO</t>
  </si>
  <si>
    <t>COMPOSICIÓN DE GASTOS DEL MES ACTIVO</t>
  </si>
  <si>
    <t>Gasto Mes ($)</t>
  </si>
  <si>
    <t>🏛️ BALANCE GENERAL Y PATRIMONIO NETO — MARLON MUÑOZ PARDO</t>
  </si>
  <si>
    <t>Estado de situación financiera personal: Activos líquidos, ahorros cooperativos y pasivos del mes</t>
  </si>
  <si>
    <t>TOTAL ACTIVOS</t>
  </si>
  <si>
    <t>TOTAL PASIVOS</t>
  </si>
  <si>
    <t>PATRIMONIO NETO REAL</t>
  </si>
  <si>
    <t>MESES DE COBERTURA</t>
  </si>
  <si>
    <t>DETALLE DE ACTIVOS (RECURSOS Y DERECHOS)</t>
  </si>
  <si>
    <t>DETALLE DE PASIVOS (OBLIGACIONES Y DEUDAS)</t>
  </si>
  <si>
    <t>Clase de Activo</t>
  </si>
  <si>
    <t>Concepto / Detalle</t>
  </si>
  <si>
    <t>Entidad / Ubicación</t>
  </si>
  <si>
    <t>Valor Estimado ($)</t>
  </si>
  <si>
    <t>Clase de Pasivo</t>
  </si>
  <si>
    <t>Acreedor / Medio</t>
  </si>
  <si>
    <t>Monto Pendiente ($)</t>
  </si>
  <si>
    <t>Líquido</t>
  </si>
  <si>
    <t>Cuenta de Ahorros Principal</t>
  </si>
  <si>
    <t>AyC Colanta (Nómina)</t>
  </si>
  <si>
    <t>Corriente</t>
  </si>
  <si>
    <t>Compromisos Fijos Abiertos Mes</t>
  </si>
  <si>
    <t>Control Fijos Colanta</t>
  </si>
  <si>
    <t>Depósito de Bajo Monto</t>
  </si>
  <si>
    <t>Nequi Marlon</t>
  </si>
  <si>
    <t>Crédito</t>
  </si>
  <si>
    <t>Tarjeta de Crédito / Cupo Usado</t>
  </si>
  <si>
    <t>Efectivo Disponible en Mano</t>
  </si>
  <si>
    <t>Billetera Física</t>
  </si>
  <si>
    <t>Préstamo</t>
  </si>
  <si>
    <t>Obligaciones Bancarias / Terceros</t>
  </si>
  <si>
    <t>Entidad Financiera</t>
  </si>
  <si>
    <t>Inversión / Ahorro</t>
  </si>
  <si>
    <t>Fondos de Ahorro Acumulados</t>
  </si>
  <si>
    <t>Cooperativa Colanta</t>
  </si>
  <si>
    <t>Otras Deudas Pendientes</t>
  </si>
  <si>
    <t>Varios</t>
  </si>
  <si>
    <t>Por Cobrar</t>
  </si>
  <si>
    <t>Cartera de Préstamos Activa</t>
  </si>
  <si>
    <t>Cuentas por Cobrar</t>
  </si>
  <si>
    <t>-</t>
  </si>
  <si>
    <t>Sin pasivos adicionales</t>
  </si>
  <si>
    <t>Bien Físico</t>
  </si>
  <si>
    <t>Motocicleta (Valor Comercial)</t>
  </si>
  <si>
    <t>Propiedad Marlon</t>
  </si>
  <si>
    <t>TOTAL ACTIVOS CONSOLIDADOS</t>
  </si>
  <si>
    <t>TOTAL PASIVOS CONSOLIDADOS</t>
  </si>
  <si>
    <t>📅 HISTÓRICO Y PROYECCIÓN DE COMPROMISOS FIJOS — MARLON MUÑOZ</t>
  </si>
  <si>
    <t>Base maestra mensual de obligaciones fijas, suscripciones y servicios públicos</t>
  </si>
  <si>
    <t>ID Fijo</t>
  </si>
  <si>
    <t>Abonado ($)</t>
  </si>
  <si>
    <t>Fecha Pago</t>
  </si>
  <si>
    <t>Período (YYYY-MM)</t>
  </si>
  <si>
    <t>F-0332</t>
  </si>
  <si>
    <t>2026-01-15</t>
  </si>
  <si>
    <t>2026-01-01</t>
  </si>
  <si>
    <t>Media</t>
  </si>
  <si>
    <t>Copiado de abril 2026; obligación sin movimiento real | PAGADO_CON_MOVIMIENTO_ENERO_2026</t>
  </si>
  <si>
    <t>F-0333</t>
  </si>
  <si>
    <t>F-0334</t>
  </si>
  <si>
    <t>F-0335</t>
  </si>
  <si>
    <t>F-0336</t>
  </si>
  <si>
    <t>F-0337</t>
  </si>
  <si>
    <t>2026-01-31</t>
  </si>
  <si>
    <t>F-0338</t>
  </si>
  <si>
    <t>F-0339</t>
  </si>
  <si>
    <t>F-0340</t>
  </si>
  <si>
    <t>F-0341</t>
  </si>
  <si>
    <t>F-0026</t>
  </si>
  <si>
    <t>2026-02-15</t>
  </si>
  <si>
    <t>2026-02-01</t>
  </si>
  <si>
    <t>HIST_FIJOS_2026-08-22</t>
  </si>
  <si>
    <t>F-0027</t>
  </si>
  <si>
    <t>F-0043</t>
  </si>
  <si>
    <t>2026-03-31</t>
  </si>
  <si>
    <t>2026-03-01</t>
  </si>
  <si>
    <t>F-0044</t>
  </si>
  <si>
    <t>F-0045</t>
  </si>
  <si>
    <t>F-0046</t>
  </si>
  <si>
    <t>F-0047</t>
  </si>
  <si>
    <t>F-0048</t>
  </si>
  <si>
    <t>2026-04-15</t>
  </si>
  <si>
    <t>2026-04-01</t>
  </si>
  <si>
    <t>F-0049</t>
  </si>
  <si>
    <t>F-0050</t>
  </si>
  <si>
    <t>F-0051</t>
  </si>
  <si>
    <t>F-0052</t>
  </si>
  <si>
    <t>F-0053</t>
  </si>
  <si>
    <t>2026-04-30</t>
  </si>
  <si>
    <t>F-0054</t>
  </si>
  <si>
    <t>F-0055</t>
  </si>
  <si>
    <t>F-0056</t>
  </si>
  <si>
    <t>F-0057</t>
  </si>
  <si>
    <t>F-0058</t>
  </si>
  <si>
    <t>2026-05-15</t>
  </si>
  <si>
    <t>2026-05-01</t>
  </si>
  <si>
    <t>F-0059</t>
  </si>
  <si>
    <t>F-0060</t>
  </si>
  <si>
    <t>F-0061</t>
  </si>
  <si>
    <t>F-0062</t>
  </si>
  <si>
    <t>F-0063</t>
  </si>
  <si>
    <t>2026-05-31</t>
  </si>
  <si>
    <t>F-0064</t>
  </si>
  <si>
    <t>F-0065</t>
  </si>
  <si>
    <t>F-0066</t>
  </si>
  <si>
    <t>F-0067</t>
  </si>
  <si>
    <t>2026-06-15</t>
  </si>
  <si>
    <t>2026-06-01</t>
  </si>
  <si>
    <t>F-0068</t>
  </si>
  <si>
    <t>F-0069</t>
  </si>
  <si>
    <t>F-0070</t>
  </si>
  <si>
    <t>Parqueadero Trabajo Quincena</t>
  </si>
  <si>
    <t>F-0071</t>
  </si>
  <si>
    <t>Parqueadero Moto Quincena</t>
  </si>
  <si>
    <t>F-0072</t>
  </si>
  <si>
    <t>F-0073</t>
  </si>
  <si>
    <t>F-0074</t>
  </si>
  <si>
    <t>F-0075</t>
  </si>
  <si>
    <t>2026-06-30</t>
  </si>
  <si>
    <t>F-0076</t>
  </si>
  <si>
    <t>F-0077</t>
  </si>
  <si>
    <t>F-0078</t>
  </si>
  <si>
    <t>F-0079</t>
  </si>
  <si>
    <t>2026-07-15</t>
  </si>
  <si>
    <t>2026-07-01</t>
  </si>
  <si>
    <t>F-0080</t>
  </si>
  <si>
    <t>F-0081</t>
  </si>
  <si>
    <t>F-0082</t>
  </si>
  <si>
    <t>F-0083</t>
  </si>
  <si>
    <t>F-0084</t>
  </si>
  <si>
    <t>F-0085</t>
  </si>
  <si>
    <t>F-0086</t>
  </si>
  <si>
    <t>F-0087</t>
  </si>
  <si>
    <t>2026-07-31</t>
  </si>
  <si>
    <t>F-0088</t>
  </si>
  <si>
    <t>F-0089</t>
  </si>
  <si>
    <t>F-0090</t>
  </si>
  <si>
    <t>F-0091</t>
  </si>
  <si>
    <t>F-0002</t>
  </si>
  <si>
    <t>EPM ENERGIA</t>
  </si>
  <si>
    <t>2026-08-16</t>
  </si>
  <si>
    <t>2026-08-01</t>
  </si>
  <si>
    <t>F-0003</t>
  </si>
  <si>
    <t>2026-08-17</t>
  </si>
  <si>
    <t>F-0004</t>
  </si>
  <si>
    <t>2026-09-01</t>
  </si>
  <si>
    <t>F-0005</t>
  </si>
  <si>
    <t>2026-08-28</t>
  </si>
  <si>
    <t>F-0006</t>
  </si>
  <si>
    <t>2026-08-21</t>
  </si>
  <si>
    <t>F-0007</t>
  </si>
  <si>
    <t>F-0008</t>
  </si>
  <si>
    <t>2026-08-15</t>
  </si>
  <si>
    <t>F-0009</t>
  </si>
  <si>
    <t>2026-08-31</t>
  </si>
  <si>
    <t>F-0010</t>
  </si>
  <si>
    <t>F-0011</t>
  </si>
  <si>
    <t>F-0012</t>
  </si>
  <si>
    <t>F-0013</t>
  </si>
  <si>
    <t>F-0014</t>
  </si>
  <si>
    <t>F-0015</t>
  </si>
  <si>
    <t>F-0025</t>
  </si>
  <si>
    <t>Cuota Audifonos Samsung</t>
  </si>
  <si>
    <t>F-0092</t>
  </si>
  <si>
    <t>F-0093</t>
  </si>
  <si>
    <t>F-0094</t>
  </si>
  <si>
    <t>F-0095</t>
  </si>
  <si>
    <t>F-0096</t>
  </si>
  <si>
    <t>F-0097</t>
  </si>
  <si>
    <t>F-0098</t>
  </si>
  <si>
    <t>F-0099</t>
  </si>
  <si>
    <t>F-0100</t>
  </si>
  <si>
    <t>F-0101</t>
  </si>
  <si>
    <t>F-0102</t>
  </si>
  <si>
    <t>F-0103</t>
  </si>
  <si>
    <t>F-0104</t>
  </si>
  <si>
    <t>F-0105</t>
  </si>
  <si>
    <t>F-0106</t>
  </si>
  <si>
    <t>F-0107</t>
  </si>
  <si>
    <t>2026-10-01</t>
  </si>
  <si>
    <t>F-0108</t>
  </si>
  <si>
    <t>F-0109</t>
  </si>
  <si>
    <t>F-0110</t>
  </si>
  <si>
    <t>F-0111</t>
  </si>
  <si>
    <t>F-0112</t>
  </si>
  <si>
    <t>F-0113</t>
  </si>
  <si>
    <t>F-0114</t>
  </si>
  <si>
    <t>Renovación automática Google Play GPA.3333-4099-9556-15284..13</t>
  </si>
  <si>
    <t>F-0115</t>
  </si>
  <si>
    <t>F-0116</t>
  </si>
  <si>
    <t>F-0117</t>
  </si>
  <si>
    <t>F-0118</t>
  </si>
  <si>
    <t>F-0119</t>
  </si>
  <si>
    <t>F-0120</t>
  </si>
  <si>
    <t>F-0121</t>
  </si>
  <si>
    <t>F-0122</t>
  </si>
  <si>
    <t>2026-11-01</t>
  </si>
  <si>
    <t>noviembre</t>
  </si>
  <si>
    <t>F-0123</t>
  </si>
  <si>
    <t>F-0124</t>
  </si>
  <si>
    <t>F-0125</t>
  </si>
  <si>
    <t>F-0126</t>
  </si>
  <si>
    <t>F-0127</t>
  </si>
  <si>
    <t>F-0128</t>
  </si>
  <si>
    <t>F-0129</t>
  </si>
  <si>
    <t>F-0130</t>
  </si>
  <si>
    <t>F-0131</t>
  </si>
  <si>
    <t>F-0132</t>
  </si>
  <si>
    <t>F-0133</t>
  </si>
  <si>
    <t>F-0134</t>
  </si>
  <si>
    <t>F-0135</t>
  </si>
  <si>
    <t>F-0136</t>
  </si>
  <si>
    <t>F-0137</t>
  </si>
  <si>
    <t>2026-12-01</t>
  </si>
  <si>
    <t>diciembre</t>
  </si>
  <si>
    <t>F-0138</t>
  </si>
  <si>
    <t>F-0139</t>
  </si>
  <si>
    <t>F-0140</t>
  </si>
  <si>
    <t>F-0141</t>
  </si>
  <si>
    <t>F-0142</t>
  </si>
  <si>
    <t>F-0143</t>
  </si>
  <si>
    <t>F-0144</t>
  </si>
  <si>
    <t>F-0145</t>
  </si>
  <si>
    <t>F-0146</t>
  </si>
  <si>
    <t>F-0147</t>
  </si>
  <si>
    <t>F-0148</t>
  </si>
  <si>
    <t>F-0149</t>
  </si>
  <si>
    <t>F-0150</t>
  </si>
  <si>
    <t>F-0151</t>
  </si>
  <si>
    <t>F-0152</t>
  </si>
  <si>
    <t>2027-01-01</t>
  </si>
  <si>
    <t>F-0153</t>
  </si>
  <si>
    <t>F-0154</t>
  </si>
  <si>
    <t>F-0155</t>
  </si>
  <si>
    <t>F-0156</t>
  </si>
  <si>
    <t>F-0157</t>
  </si>
  <si>
    <t>F-0158</t>
  </si>
  <si>
    <t>F-0159</t>
  </si>
  <si>
    <t>F-0160</t>
  </si>
  <si>
    <t>F-0161</t>
  </si>
  <si>
    <t>F-0162</t>
  </si>
  <si>
    <t>F-0163</t>
  </si>
  <si>
    <t>F-0164</t>
  </si>
  <si>
    <t>F-0165</t>
  </si>
  <si>
    <t>F-0166</t>
  </si>
  <si>
    <t>F-0167</t>
  </si>
  <si>
    <t>2027-02-01</t>
  </si>
  <si>
    <t>F-0168</t>
  </si>
  <si>
    <t>F-0169</t>
  </si>
  <si>
    <t>F-0170</t>
  </si>
  <si>
    <t>F-0171</t>
  </si>
  <si>
    <t>F-0172</t>
  </si>
  <si>
    <t>F-0173</t>
  </si>
  <si>
    <t>F-0174</t>
  </si>
  <si>
    <t>F-0175</t>
  </si>
  <si>
    <t>F-0176</t>
  </si>
  <si>
    <t>F-0177</t>
  </si>
  <si>
    <t>F-0178</t>
  </si>
  <si>
    <t>F-0179</t>
  </si>
  <si>
    <t>F-0180</t>
  </si>
  <si>
    <t>F-0181</t>
  </si>
  <si>
    <t>F-0182</t>
  </si>
  <si>
    <t>2027-03-01</t>
  </si>
  <si>
    <t>F-0183</t>
  </si>
  <si>
    <t>F-0184</t>
  </si>
  <si>
    <t>F-0185</t>
  </si>
  <si>
    <t>F-0186</t>
  </si>
  <si>
    <t>F-0187</t>
  </si>
  <si>
    <t>F-0188</t>
  </si>
  <si>
    <t>F-0189</t>
  </si>
  <si>
    <t>F-0190</t>
  </si>
  <si>
    <t>F-0191</t>
  </si>
  <si>
    <t>F-0192</t>
  </si>
  <si>
    <t>F-0193</t>
  </si>
  <si>
    <t>F-0194</t>
  </si>
  <si>
    <t>F-0195</t>
  </si>
  <si>
    <t>F-0196</t>
  </si>
  <si>
    <t>F-0197</t>
  </si>
  <si>
    <t>2027-04-01</t>
  </si>
  <si>
    <t>F-0198</t>
  </si>
  <si>
    <t>F-0199</t>
  </si>
  <si>
    <t>F-0200</t>
  </si>
  <si>
    <t>F-0201</t>
  </si>
  <si>
    <t>🎯 GESTOR DE METAS DE AHORRO Y PROYECTOS FINANCIEROS</t>
  </si>
  <si>
    <t>Seguimiento de objetivos financieros, capital abonado, saldo restante y progreso porcentual</t>
  </si>
  <si>
    <t>META CONSOLIDADA ($)</t>
  </si>
  <si>
    <t>AHORRO ACUMULADO ($)</t>
  </si>
  <si>
    <t>FALTANTE TOTAL ($)</t>
  </si>
  <si>
    <t>% AVANCE GLOBAL</t>
  </si>
  <si>
    <t>Objetivo / Proyecto</t>
  </si>
  <si>
    <t>Meta Financiera ($)</t>
  </si>
  <si>
    <t>Ahorro Actual ($)</t>
  </si>
  <si>
    <t>Faltante ($)</t>
  </si>
  <si>
    <t>% Avance</t>
  </si>
  <si>
    <t>Barra Progreso</t>
  </si>
  <si>
    <t>Origen / Cuenta</t>
  </si>
  <si>
    <t>🤝 CONTROL DE PRÉSTAMOS Y CARTERA POR COBRAR</t>
  </si>
  <si>
    <t>Control de préstamos a terceros, abonos recibidos y saldos pendientes por recaudar</t>
  </si>
  <si>
    <t>TOTAL PRESTADO ($)</t>
  </si>
  <si>
    <t>TOTAL RECUPERADO ($)</t>
  </si>
  <si>
    <t>SALDO PENDIENTE EN LA CALLE</t>
  </si>
  <si>
    <t>DEUDORES CON SALDO</t>
  </si>
  <si>
    <t>Fecha Préstamo</t>
  </si>
  <si>
    <t>Deudor / Persona</t>
  </si>
  <si>
    <t>Concepto / Motivo</t>
  </si>
  <si>
    <t>Monto Prestado ($)</t>
  </si>
  <si>
    <t>Fecha Último Abono</t>
  </si>
  <si>
    <t>Notas / Ref. Movimiento</t>
  </si>
  <si>
    <t>🏷️ TAXONOMÍA FINANCIERA Y CLASIFICACIÓN</t>
  </si>
  <si>
    <t>Catálogo maestro de categorías, tipos de movimiento, métodos de pago y selectores del sistema</t>
  </si>
  <si>
    <t>Descripción / Ejemplo</t>
  </si>
  <si>
    <t>Fondo Colanta</t>
  </si>
  <si>
    <t>Bancolombia Marlon</t>
  </si>
  <si>
    <t>Mercados, almuerzos laborales, víveres</t>
  </si>
  <si>
    <t>No</t>
  </si>
  <si>
    <t>Alta</t>
  </si>
  <si>
    <t>Arriendo Casa mensual</t>
  </si>
  <si>
    <t>Tarjeta Débito</t>
  </si>
  <si>
    <t>EPM Energía, Agua, Internet Tigo, Celular</t>
  </si>
  <si>
    <t>Gasolina, Parqueadero trabajo, Didi/Uber</t>
  </si>
  <si>
    <t>Mantenimiento, repuestos, parqueadero moto</t>
  </si>
  <si>
    <t>Helados, granizados, golosinas, pasabocas</t>
  </si>
  <si>
    <t>Baja</t>
  </si>
  <si>
    <t>Spotify, salidas, pizza con amigos</t>
  </si>
  <si>
    <t>Telegram Premium, Google One, software</t>
  </si>
  <si>
    <t>Ropa, accesorios trabajo, tecnología, audífonos</t>
  </si>
  <si>
    <t>Descuento por nómina en Fondo Colanta ($33.000)</t>
  </si>
  <si>
    <t>Sí</t>
  </si>
  <si>
    <t>Descuento por nómina para entrega en dic ($120.000)</t>
  </si>
  <si>
    <t>Aporte Afiliación</t>
  </si>
  <si>
    <t>Fondo y beneficios de asociado Colanta</t>
  </si>
  <si>
    <t>Salario quincenal, recargos y extras Colanta</t>
  </si>
  <si>
    <t>🤖 CATÁLOGO DE REGLAS Y ASIGNACIÓN AUTOMÁTICA (BOT TELEGRAM)</t>
  </si>
  <si>
    <t>Diccionario de entrenamiento para que Gemini y Apps Script clasifiquen comercios y conceptos al instante.</t>
  </si>
  <si>
    <t>Comercio / Palabra Clave</t>
  </si>
  <si>
    <t>Categoría Asignada</t>
  </si>
  <si>
    <t>Subcategoría / Tipo</t>
  </si>
  <si>
    <t>Notas / Comportamiento Bot</t>
  </si>
  <si>
    <t>Mercatodo</t>
  </si>
  <si>
    <t>Compra de víveres quincenal</t>
  </si>
  <si>
    <t>Éxito</t>
  </si>
  <si>
    <t>Mercado o compras para el hogar</t>
  </si>
  <si>
    <t>D1</t>
  </si>
  <si>
    <t>Víveres</t>
  </si>
  <si>
    <t>Compras cotidianas de despensa</t>
  </si>
  <si>
    <t>Euro Supermercado</t>
  </si>
  <si>
    <t>Almuerzo</t>
  </si>
  <si>
    <t>Comidas Laborales</t>
  </si>
  <si>
    <t>Almuerzo laboral</t>
  </si>
  <si>
    <t>Comida Fuera</t>
  </si>
  <si>
    <t>Comida en restaurante</t>
  </si>
  <si>
    <t>Rappi</t>
  </si>
  <si>
    <t>Domicilios</t>
  </si>
  <si>
    <t>Pedido de comida rápida o despensa</t>
  </si>
  <si>
    <t>Panadería</t>
  </si>
  <si>
    <t>Desayuno / Onces</t>
  </si>
  <si>
    <t>Café y pan</t>
  </si>
  <si>
    <t>Primax</t>
  </si>
  <si>
    <t>Tanqueo de moto</t>
  </si>
  <si>
    <t>Texaco</t>
  </si>
  <si>
    <t>Terpel</t>
  </si>
  <si>
    <t>Tanqueo de combustible</t>
  </si>
  <si>
    <t>Taller Moto</t>
  </si>
  <si>
    <t>Reparación o revisión técnico mecánica</t>
  </si>
  <si>
    <t>Lavadero Moto</t>
  </si>
  <si>
    <t>Limpieza de motocicleta</t>
  </si>
  <si>
    <t>Aceite Moto</t>
  </si>
  <si>
    <t>Repuestos</t>
  </si>
  <si>
    <t>Cambio de aceite de motor</t>
  </si>
  <si>
    <t>Estacionamiento trabajo o ciudad</t>
  </si>
  <si>
    <t>Luz / Electricidad</t>
  </si>
  <si>
    <t>Factura de energía EPM</t>
  </si>
  <si>
    <t>EPM Agua</t>
  </si>
  <si>
    <t>Agua / Alcantarillado</t>
  </si>
  <si>
    <t>Factura de acueducto EPM</t>
  </si>
  <si>
    <t>Tigo</t>
  </si>
  <si>
    <t>Internet / Hogar</t>
  </si>
  <si>
    <t>Factura mensual Tigo UNE</t>
  </si>
  <si>
    <t>Claro</t>
  </si>
  <si>
    <t>Telefonía Móvil</t>
  </si>
  <si>
    <t>Plan celular de datos</t>
  </si>
  <si>
    <t>Streaming Música</t>
  </si>
  <si>
    <t>Suscripción mensual de música</t>
  </si>
  <si>
    <t>Netflix</t>
  </si>
  <si>
    <t>Streaming Video</t>
  </si>
  <si>
    <t>Suscripción mensual de video</t>
  </si>
  <si>
    <t>Cine Colombia</t>
  </si>
  <si>
    <t>Cine / Salidas</t>
  </si>
  <si>
    <t>Boletas de cine y confitería</t>
  </si>
  <si>
    <t>Pizza</t>
  </si>
  <si>
    <t>Comida Social</t>
  </si>
  <si>
    <t>Salida recreativa con amigos</t>
  </si>
  <si>
    <t>Bar / Cerveza</t>
  </si>
  <si>
    <t>Ocio</t>
  </si>
  <si>
    <t>Salida social fin de semana</t>
  </si>
  <si>
    <t>Amigo Secreto</t>
  </si>
  <si>
    <t>Dulces o detalle de endulzada</t>
  </si>
  <si>
    <t>Antojos</t>
  </si>
  <si>
    <t>Detalle o endulzada de amigo secreto</t>
  </si>
  <si>
    <t>Mecato</t>
  </si>
  <si>
    <t>Snacks</t>
  </si>
  <si>
    <t>Mecato de tienda</t>
  </si>
  <si>
    <t>Chocolatina</t>
  </si>
  <si>
    <t>Golosinas</t>
  </si>
  <si>
    <t>Chocolatina o dulces</t>
  </si>
  <si>
    <t>Antojo</t>
  </si>
  <si>
    <t>Gasto menor de antojo</t>
  </si>
  <si>
    <t>Snacks y pasabocas</t>
  </si>
  <si>
    <t>Papitas</t>
  </si>
  <si>
    <t>Papas de paquete</t>
  </si>
  <si>
    <t>Tinto</t>
  </si>
  <si>
    <t>Cafetería</t>
  </si>
  <si>
    <t>Café o tinto al paso</t>
  </si>
  <si>
    <t>Cafecito</t>
  </si>
  <si>
    <t>Café al paso</t>
  </si>
  <si>
    <t>Helado o cono postre</t>
  </si>
  <si>
    <t>Popsy</t>
  </si>
  <si>
    <t>Helados</t>
  </si>
  <si>
    <t>Heladería</t>
  </si>
  <si>
    <t>Mimos</t>
  </si>
  <si>
    <t>Granizado</t>
  </si>
  <si>
    <t>Bebidas Dulces</t>
  </si>
  <si>
    <t>Granizado callejero</t>
  </si>
  <si>
    <t>Chicles / Dulces</t>
  </si>
  <si>
    <t>Gasto hormiga diario</t>
  </si>
  <si>
    <t>Empanada</t>
  </si>
  <si>
    <t>Pasabocas</t>
  </si>
  <si>
    <t>Antojo callejero rápido</t>
  </si>
  <si>
    <t>Droguería Pasteur</t>
  </si>
  <si>
    <t>Medicamentos</t>
  </si>
  <si>
    <t>Compra farmacéutica</t>
  </si>
  <si>
    <t>Drogas La Rebaja</t>
  </si>
  <si>
    <t>Farmacia</t>
  </si>
  <si>
    <t>Medicamentos personales</t>
  </si>
  <si>
    <t>Compromiso mensual habitacional</t>
  </si>
  <si>
    <t>Telegram Premium</t>
  </si>
  <si>
    <t>Software</t>
  </si>
  <si>
    <t>Suscripción Telegram</t>
  </si>
  <si>
    <t>Almacenamiento Cloud</t>
  </si>
  <si>
    <t>Backup en la nube</t>
  </si>
  <si>
    <t>Ingreso quincenal oficial</t>
  </si>
  <si>
    <t>📖 MANUAL DE USUARIO — FINANZAS MARLON MUÑOZ V26 PRO</t>
  </si>
  <si>
    <t>Guía operativa del Centro de Control Financiero sincronizado con Telegram y Apps Script.</t>
  </si>
  <si>
    <t>Módulo / Función del Sistema</t>
  </si>
  <si>
    <t>Descripción Operativa e Integración con el Bot de Telegram y Gemini IA</t>
  </si>
  <si>
    <t>1. Barra de Navegación</t>
  </si>
  <si>
    <t>Haz clic en cualquier botón de la barra superior en el PANEL para saltar directamente a esa hoja. En cada hoja secundaria hay un botón para volver.</t>
  </si>
  <si>
    <t>2. Selector Período</t>
  </si>
  <si>
    <t>Cambia el mes en L2 y el año en I2 en el PANEL con un solo clic en la flecha desplegable. Todo el libro se recalcula automáticamente.</t>
  </si>
  <si>
    <t>3. Balanza Quincenal</t>
  </si>
  <si>
    <t>En el PANEL puedes ver la proyección de la Quincena 1 (día 1-15) vs Quincena 2 (día 16-30) para controlar tu liquidez quincenal exacta.</t>
  </si>
  <si>
    <t>4. Radar Gastos Hormiga</t>
  </si>
  <si>
    <t>Monitorea en tiempo real los microgastos de golosinas y helados para evitar que drenen tu capacidad de ahorro mensual.</t>
  </si>
  <si>
    <t>5. Cierre de Año 2026</t>
  </si>
  <si>
    <t>El nuevo módulo proyecta la entrega de tu Fondo Navideño Colanta en diciembre ($2.040.000) y la Prima de Navidad para planear compras sin endeudarte.</t>
  </si>
  <si>
    <t>6. Arqueo de Liquidez</t>
  </si>
  <si>
    <t>Conoce con exactitud cuánto dinero disponible tienes repartido en AyC Colanta, Nequi y Efectivo.</t>
  </si>
  <si>
    <t>7. Metas y Cartera</t>
  </si>
  <si>
    <t>Usa METAS AHORRO para tus proyectos con barras de avance y CUENTAS POR COBRAR para controlar préstamos con semáforos automáticos.</t>
  </si>
  <si>
    <t>8. Patrimonio Neto</t>
  </si>
  <si>
    <t>La hoja PATRIMONIO NETO consolida tus activos, ahorros acumulados, cartera y pasivos para medir tu solvencia real.</t>
  </si>
  <si>
    <t>9. Compatibilidad Sheets</t>
  </si>
  <si>
    <t>100% compatible al subir a Google Drive y convertir a Google Sheets sin macros, con gráficos OpenXML nativos.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</si>
</sst>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\ #,##0;\(\$\ #,##0\);&quot;-&quot;"/>
    <numFmt numFmtId="165" formatCode="0.0%"/>
    <numFmt numFmtId="166" formatCode="\$#,##0"/>
    <numFmt numFmtId="167" formatCode="yyyy\-mm\-dd"/>
    <numFmt numFmtId="168" formatCode="&quot;$&quot;\ #,##0"/>
    <numFmt numFmtId="169" formatCode="0.0\ &quot;meses&quot;"/>
  </numFmts>
  <fonts count="19">
    <font>
      <sz val="11.0"/>
      <color theme="1"/>
      <name val="Calibri"/>
      <scheme val="minor"/>
    </font>
    <font>
      <sz val="10.0"/>
      <color rgb="FF0F172A"/>
      <name val="Quattrocento Sans"/>
    </font>
    <font>
      <b/>
      <sz val="14.0"/>
      <color rgb="FFFFFFFF"/>
      <name val="Quattrocento Sans"/>
    </font>
    <font/>
    <font>
      <b/>
      <sz val="9.0"/>
      <color rgb="FFE2E8F0"/>
      <name val="Quattrocento Sans"/>
    </font>
    <font>
      <b/>
      <sz val="11.0"/>
      <color rgb="FF1E3A8A"/>
      <name val="Quattrocento Sans"/>
    </font>
    <font>
      <sz val="9.0"/>
      <color rgb="FFCBD5E1"/>
      <name val="Quattrocento Sans"/>
    </font>
    <font>
      <b/>
      <sz val="9.0"/>
      <color rgb="FF64748B"/>
      <name val="Quattrocento Sans"/>
    </font>
    <font>
      <b/>
      <sz val="16.0"/>
      <color rgb="FF047857"/>
      <name val="Quattrocento Sans"/>
    </font>
    <font>
      <b/>
      <sz val="16.0"/>
      <color rgb="FFB91C1C"/>
      <name val="Quattrocento Sans"/>
    </font>
    <font>
      <b/>
      <sz val="16.0"/>
      <color rgb="FF1D4ED8"/>
      <name val="Quattrocento Sans"/>
    </font>
    <font>
      <b/>
      <sz val="16.0"/>
      <color rgb="FF0F172A"/>
      <name val="Quattrocento Sans"/>
    </font>
    <font>
      <b/>
      <sz val="10.0"/>
      <color rgb="FF1E3A8A"/>
      <name val="Quattrocento Sans"/>
    </font>
    <font>
      <b/>
      <sz val="10.0"/>
      <color rgb="FF0F172A"/>
      <name val="Quattrocento Sans"/>
    </font>
    <font>
      <b/>
      <sz val="10.0"/>
      <color rgb="FFFFFFFF"/>
      <name val="Quattrocento Sans"/>
    </font>
    <font>
      <sz val="9.0"/>
      <color rgb="FF475569"/>
      <name val="Quattrocento Sans"/>
    </font>
    <font>
      <b/>
      <sz val="9.0"/>
      <color rgb="FF166534"/>
      <name val="Quattrocento Sans"/>
    </font>
    <font>
      <b/>
      <sz val="9.0"/>
      <color rgb="FF475569"/>
      <name val="Quattrocento Sans"/>
    </font>
    <font>
      <b/>
      <sz val="9.0"/>
      <color rgb="FF2563EB"/>
      <name val="Quattrocento Sans"/>
    </font>
  </fonts>
  <fills count="12">
    <fill>
      <patternFill patternType="none"/>
    </fill>
    <fill>
      <patternFill patternType="lightGray"/>
    </fill>
    <fill>
      <patternFill patternType="solid">
        <fgColor rgb="FFF1F5F9"/>
        <bgColor rgb="FFF1F5F9"/>
      </patternFill>
    </fill>
    <fill>
      <patternFill patternType="solid">
        <fgColor rgb="FF0F172A"/>
        <bgColor rgb="FF0F172A"/>
      </patternFill>
    </fill>
    <fill>
      <patternFill patternType="solid">
        <fgColor rgb="FFEFF6FF"/>
        <bgColor rgb="FFEFF6FF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334155"/>
        <bgColor rgb="FF334155"/>
      </patternFill>
    </fill>
  </fills>
  <borders count="6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</border>
    <border>
      <left style="thin">
        <color rgb="FFCBD5E1"/>
      </left>
      <top style="medium">
        <color rgb="FF10B981"/>
      </top>
      <bottom/>
    </border>
    <border>
      <top style="medium">
        <color rgb="FF10B981"/>
      </top>
      <bottom/>
    </border>
    <border>
      <right style="thin">
        <color rgb="FFCBD5E1"/>
      </right>
      <top style="medium">
        <color rgb="FF10B981"/>
      </top>
      <bottom/>
    </border>
    <border>
      <left style="thin">
        <color rgb="FFCBD5E1"/>
      </left>
      <top style="medium">
        <color rgb="FFEF4444"/>
      </top>
      <bottom/>
    </border>
    <border>
      <top style="medium">
        <color rgb="FFEF4444"/>
      </top>
      <bottom/>
    </border>
    <border>
      <right style="thin">
        <color rgb="FFCBD5E1"/>
      </right>
      <top style="medium">
        <color rgb="FFEF4444"/>
      </top>
      <bottom/>
    </border>
    <border>
      <left style="thin">
        <color rgb="FFCBD5E1"/>
      </left>
      <top style="medium">
        <color rgb="FF3B82F6"/>
      </top>
      <bottom/>
    </border>
    <border>
      <top style="medium">
        <color rgb="FF3B82F6"/>
      </top>
      <bottom/>
    </border>
    <border>
      <right style="thin">
        <color rgb="FFCBD5E1"/>
      </right>
      <top style="medium">
        <color rgb="FF3B82F6"/>
      </top>
      <bottom/>
    </border>
    <border>
      <left style="thin">
        <color rgb="FFCBD5E1"/>
      </left>
      <top style="medium">
        <color rgb="FF0F172A"/>
      </top>
      <bottom/>
    </border>
    <border>
      <right style="thin">
        <color rgb="FFCBD5E1"/>
      </right>
      <top style="medium">
        <color rgb="FF0F172A"/>
      </top>
      <bottom/>
    </border>
    <border>
      <left style="thin">
        <color rgb="FFCBD5E1"/>
      </left>
      <top/>
      <bottom style="thin">
        <color rgb="FFCBD5E1"/>
      </bottom>
    </border>
    <border>
      <top/>
      <bottom style="thin">
        <color rgb="FFCBD5E1"/>
      </bottom>
    </border>
    <border>
      <right style="thin">
        <color rgb="FFCBD5E1"/>
      </right>
      <top/>
      <bottom style="thin">
        <color rgb="FFCBD5E1"/>
      </bottom>
    </border>
    <border>
      <left style="thin">
        <color rgb="FF93C5FD"/>
      </left>
      <top style="medium">
        <color rgb="FF2563EB"/>
      </top>
      <bottom style="thin">
        <color rgb="FF93C5FD"/>
      </bottom>
    </border>
    <border>
      <top style="medium">
        <color rgb="FF2563EB"/>
      </top>
      <bottom style="thin">
        <color rgb="FF93C5FD"/>
      </bottom>
    </border>
    <border>
      <right style="thin">
        <color rgb="FF93C5FD"/>
      </right>
      <top style="medium">
        <color rgb="FF2563EB"/>
      </top>
      <bottom style="thin">
        <color rgb="FF93C5FD"/>
      </bottom>
    </border>
    <border>
      <left style="thin">
        <color rgb="FFCBD5E1"/>
      </left>
      <top style="medium">
        <color rgb="FF1E3A8A"/>
      </top>
      <bottom/>
    </border>
    <border>
      <top style="medium">
        <color rgb="FF1E3A8A"/>
      </top>
      <bottom/>
    </border>
    <border>
      <right style="thin">
        <color rgb="FFCBD5E1"/>
      </right>
      <top style="medium">
        <color rgb="FF1E3A8A"/>
      </top>
      <bottom/>
    </border>
    <border>
      <left style="thin">
        <color rgb="FFCBD5E1"/>
      </left>
      <right/>
      <top style="thin">
        <color rgb="FF1E3A8A"/>
      </top>
      <bottom style="thin">
        <color rgb="FF1E3A8A"/>
      </bottom>
    </border>
    <border>
      <left/>
      <right/>
      <top style="thin">
        <color rgb="FF1E3A8A"/>
      </top>
      <bottom style="thin">
        <color rgb="FF1E3A8A"/>
      </bottom>
    </border>
    <border>
      <left/>
      <right style="thin">
        <color rgb="FFCBD5E1"/>
      </right>
      <top style="thin">
        <color rgb="FF1E3A8A"/>
      </top>
      <bottom style="thin">
        <color rgb="FF1E3A8A"/>
      </bottom>
    </border>
    <border>
      <left/>
      <top style="thin">
        <color rgb="FF1E3A8A"/>
      </top>
      <bottom style="thin">
        <color rgb="FF1E3A8A"/>
      </bottom>
    </border>
    <border>
      <top style="thin">
        <color rgb="FF1E3A8A"/>
      </top>
      <bottom style="thin">
        <color rgb="FF1E3A8A"/>
      </bottom>
    </border>
    <border>
      <right style="thin">
        <color rgb="FFCBD5E1"/>
      </right>
      <top style="thin">
        <color rgb="FF1E3A8A"/>
      </top>
      <bottom style="thin">
        <color rgb="FF1E3A8A"/>
      </bottom>
    </border>
    <border>
      <left style="thin">
        <color rgb="FFCBD5E1"/>
      </left>
      <right/>
      <top style="thin">
        <color rgb="FFE2E8F0"/>
      </top>
      <bottom style="thin">
        <color rgb="FFE2E8F0"/>
      </bottom>
    </border>
    <border>
      <left/>
      <right/>
      <top style="thin">
        <color rgb="FFE2E8F0"/>
      </top>
      <bottom style="thin">
        <color rgb="FFE2E8F0"/>
      </bottom>
    </border>
    <border>
      <left/>
      <right style="thin">
        <color rgb="FFCBD5E1"/>
      </right>
      <top style="thin">
        <color rgb="FFE2E8F0"/>
      </top>
      <bottom style="thin">
        <color rgb="FFE2E8F0"/>
      </bottom>
    </border>
    <border>
      <left/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CBD5E1"/>
      </right>
      <top style="thin">
        <color rgb="FFE2E8F0"/>
      </top>
      <bottom style="thin">
        <color rgb="FFE2E8F0"/>
      </bottom>
    </border>
    <border>
      <left style="thin">
        <color rgb="FFCBD5E1"/>
      </left>
      <right/>
      <top style="thin">
        <color rgb="FF1E3A8A"/>
      </top>
      <bottom style="double">
        <color rgb="FF1E3A8A"/>
      </bottom>
    </border>
    <border>
      <left/>
      <right/>
      <top style="thin">
        <color rgb="FF1E3A8A"/>
      </top>
      <bottom style="double">
        <color rgb="FF1E3A8A"/>
      </bottom>
    </border>
    <border>
      <left/>
      <right style="thin">
        <color rgb="FFCBD5E1"/>
      </right>
      <top style="thin">
        <color rgb="FF1E3A8A"/>
      </top>
      <bottom style="double">
        <color rgb="FF1E3A8A"/>
      </bottom>
    </border>
    <border>
      <left/>
      <top style="thin">
        <color rgb="FF1E3A8A"/>
      </top>
      <bottom style="double">
        <color rgb="FF1E3A8A"/>
      </bottom>
    </border>
    <border>
      <top style="thin">
        <color rgb="FF1E3A8A"/>
      </top>
      <bottom style="double">
        <color rgb="FF1E3A8A"/>
      </bottom>
    </border>
    <border>
      <right style="thin">
        <color rgb="FFCBD5E1"/>
      </right>
      <top style="thin">
        <color rgb="FF1E3A8A"/>
      </top>
      <bottom style="double">
        <color rgb="FF1E3A8A"/>
      </bottom>
    </border>
    <border>
      <left style="thin">
        <color rgb="FFCBD5E1"/>
      </left>
      <top style="thin">
        <color rgb="FFE2E8F0"/>
      </top>
      <bottom style="thin">
        <color rgb="FFE2E8F0"/>
      </bottom>
    </border>
    <border>
      <right/>
      <top style="thin">
        <color rgb="FFE2E8F0"/>
      </top>
      <bottom style="thin">
        <color rgb="FFE2E8F0"/>
      </bottom>
    </border>
    <border>
      <left style="thin">
        <color rgb="FFCBD5E1"/>
      </left>
      <top style="thin">
        <color rgb="FF1E3A8A"/>
      </top>
      <bottom style="double">
        <color rgb="FF1E3A8A"/>
      </bottom>
    </border>
    <border>
      <right/>
      <top style="thin">
        <color rgb="FF1E3A8A"/>
      </top>
      <bottom style="double">
        <color rgb="FF1E3A8A"/>
      </bottom>
    </border>
    <border>
      <left style="thin">
        <color rgb="FFCBD5E1"/>
      </left>
      <right/>
      <top style="thin">
        <color rgb="FFE2E8F0"/>
      </top>
      <bottom style="thin">
        <color rgb="FFCBD5E1"/>
      </bottom>
    </border>
    <border>
      <left/>
      <right/>
      <top style="thin">
        <color rgb="FFE2E8F0"/>
      </top>
      <bottom style="thin">
        <color rgb="FFCBD5E1"/>
      </bottom>
    </border>
    <border>
      <left/>
      <right style="thin">
        <color rgb="FFCBD5E1"/>
      </right>
      <top style="thin">
        <color rgb="FFE2E8F0"/>
      </top>
      <bottom style="thin">
        <color rgb="FFCBD5E1"/>
      </bottom>
    </border>
    <border>
      <right/>
      <top style="thin">
        <color rgb="FF1E3A8A"/>
      </top>
      <bottom style="thin">
        <color rgb="FF1E3A8A"/>
      </bottom>
    </border>
    <border>
      <left style="thin">
        <color rgb="FFCBD5E1"/>
      </left>
      <right/>
      <top style="thin">
        <color rgb="FFCBD5E1"/>
      </top>
      <bottom style="thin">
        <color rgb="FF1E3A8A"/>
      </bottom>
    </border>
    <border>
      <left/>
      <right/>
      <top style="thin">
        <color rgb="FFCBD5E1"/>
      </top>
      <bottom style="thin">
        <color rgb="FF1E3A8A"/>
      </bottom>
    </border>
    <border>
      <left/>
      <right style="thin">
        <color rgb="FFCBD5E1"/>
      </right>
      <top style="thin">
        <color rgb="FFCBD5E1"/>
      </top>
      <bottom style="thin">
        <color rgb="FF1E3A8A"/>
      </bottom>
    </border>
    <border>
      <left style="thin">
        <color rgb="FFCBD5E1"/>
      </left>
      <top style="thin">
        <color rgb="FF1E3A8A"/>
      </top>
      <bottom style="thin">
        <color rgb="FF1E3A8A"/>
      </bottom>
    </border>
    <border>
      <left style="thin">
        <color rgb="FFCBD5E1"/>
      </left>
      <right style="thin">
        <color rgb="FFCBD5E1"/>
      </right>
      <top style="medium">
        <color rgb="FF0F172A"/>
      </top>
      <bottom/>
    </border>
    <border>
      <left style="thin">
        <color rgb="FFCBD5E1"/>
      </left>
      <right style="thin">
        <color rgb="FFCBD5E1"/>
      </right>
      <top/>
      <bottom style="thin">
        <color rgb="FFCBD5E1"/>
      </bottom>
    </border>
    <border>
      <top style="medium">
        <color rgb="FF0F172A"/>
      </top>
      <bottom/>
    </border>
    <border>
      <left style="thin">
        <color rgb="FFCBD5E1"/>
      </left>
      <right/>
      <top/>
      <bottom/>
    </border>
    <border>
      <left style="thin">
        <color rgb="FFCBD5E1"/>
      </left>
      <right/>
      <top/>
      <bottom style="thin">
        <color rgb="FFCBD5E1"/>
      </bottom>
    </border>
    <border>
      <left/>
      <right style="thin">
        <color rgb="FFCBD5E1"/>
      </right>
      <top/>
      <bottom/>
    </border>
    <border>
      <left/>
      <right style="thin">
        <color rgb="FFCBD5E1"/>
      </right>
      <top/>
      <bottom style="thin">
        <color rgb="FFCBD5E1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horizontal="right" vertical="center"/>
    </xf>
    <xf borderId="5" fillId="4" fontId="5" numFmtId="1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5" fillId="4" fontId="5" numFmtId="49" xfId="0" applyAlignment="1" applyBorder="1" applyFill="1" applyFont="1" applyNumberFormat="1">
      <alignment horizontal="center" vertical="center"/>
    </xf>
    <xf borderId="2" fillId="5" fontId="6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6" fillId="6" fontId="7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6" fontId="7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6" fontId="7" numFmtId="0" xfId="0" applyAlignment="1" applyBorder="1" applyFill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6" fontId="7" numFmtId="0" xfId="0" applyAlignment="1" applyBorder="1" applyFill="1" applyFont="1">
      <alignment horizontal="center" vertical="center"/>
    </xf>
    <xf borderId="16" fillId="0" fontId="3" numFmtId="0" xfId="0" applyBorder="1" applyFont="1"/>
    <xf borderId="17" fillId="6" fontId="8" numFmtId="164" xfId="0" applyAlignment="1" applyBorder="1" applyFill="1" applyFont="1" applyNumberForma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17" fillId="6" fontId="9" numFmtId="164" xfId="0" applyAlignment="1" applyBorder="1" applyFill="1" applyFont="1" applyNumberFormat="1">
      <alignment horizontal="center" vertical="center"/>
    </xf>
    <xf borderId="17" fillId="6" fontId="10" numFmtId="164" xfId="0" applyAlignment="1" applyBorder="1" applyFill="1" applyFont="1" applyNumberFormat="1">
      <alignment horizontal="center" vertical="center"/>
    </xf>
    <xf borderId="17" fillId="6" fontId="11" numFmtId="164" xfId="0" applyAlignment="1" applyBorder="1" applyFill="1" applyFont="1" applyNumberFormat="1">
      <alignment horizontal="center" vertical="center"/>
    </xf>
    <xf borderId="20" fillId="6" fontId="12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4" fontId="13" numFmtId="0" xfId="0" applyAlignment="1" applyBorder="1" applyFill="1" applyFont="1">
      <alignment horizontal="left" vertical="center"/>
    </xf>
    <xf borderId="24" fillId="0" fontId="3" numFmtId="0" xfId="0" applyBorder="1" applyFont="1"/>
    <xf borderId="25" fillId="0" fontId="3" numFmtId="0" xfId="0" applyBorder="1" applyFont="1"/>
    <xf borderId="26" fillId="7" fontId="14" numFmtId="0" xfId="0" applyAlignment="1" applyBorder="1" applyFill="1" applyFont="1">
      <alignment horizontal="center" vertical="center"/>
    </xf>
    <xf borderId="27" fillId="7" fontId="14" numFmtId="0" xfId="0" applyAlignment="1" applyBorder="1" applyFill="1" applyFont="1">
      <alignment horizontal="center" vertical="center"/>
    </xf>
    <xf borderId="28" fillId="7" fontId="14" numFmtId="0" xfId="0" applyAlignment="1" applyBorder="1" applyFill="1" applyFont="1">
      <alignment horizontal="center" vertical="center"/>
    </xf>
    <xf borderId="29" fillId="7" fontId="14" numFmtId="0" xfId="0" applyAlignment="1" applyBorder="1" applyFill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32" fillId="6" fontId="13" numFmtId="0" xfId="0" applyAlignment="1" applyBorder="1" applyFill="1" applyFont="1">
      <alignment horizontal="left" vertical="center"/>
    </xf>
    <xf borderId="33" fillId="6" fontId="1" numFmtId="164" xfId="0" applyAlignment="1" applyBorder="1" applyFill="1" applyFont="1" applyNumberFormat="1">
      <alignment horizontal="right" vertical="center"/>
    </xf>
    <xf borderId="34" fillId="6" fontId="1" numFmtId="165" xfId="0" applyAlignment="1" applyBorder="1" applyFill="1" applyFont="1" applyNumberFormat="1">
      <alignment horizontal="center" vertical="center"/>
    </xf>
    <xf borderId="33" fillId="6" fontId="13" numFmtId="164" xfId="0" applyAlignment="1" applyBorder="1" applyFill="1" applyFont="1" applyNumberFormat="1">
      <alignment horizontal="right" vertical="center"/>
    </xf>
    <xf borderId="33" fillId="6" fontId="15" numFmtId="0" xfId="0" applyAlignment="1" applyBorder="1" applyFill="1" applyFont="1">
      <alignment horizontal="center" vertical="center"/>
    </xf>
    <xf borderId="35" fillId="6" fontId="15" numFmtId="0" xfId="0" applyAlignment="1" applyBorder="1" applyFill="1" applyFont="1">
      <alignment horizontal="left" vertical="center"/>
    </xf>
    <xf borderId="36" fillId="0" fontId="3" numFmtId="0" xfId="0" applyBorder="1" applyFont="1"/>
    <xf borderId="37" fillId="0" fontId="3" numFmtId="0" xfId="0" applyBorder="1" applyFont="1"/>
    <xf borderId="32" fillId="8" fontId="13" numFmtId="0" xfId="0" applyAlignment="1" applyBorder="1" applyFill="1" applyFont="1">
      <alignment horizontal="left" vertical="center"/>
    </xf>
    <xf borderId="33" fillId="8" fontId="1" numFmtId="164" xfId="0" applyAlignment="1" applyBorder="1" applyFill="1" applyFont="1" applyNumberFormat="1">
      <alignment horizontal="right" vertical="center"/>
    </xf>
    <xf borderId="34" fillId="8" fontId="1" numFmtId="165" xfId="0" applyAlignment="1" applyBorder="1" applyFill="1" applyFont="1" applyNumberFormat="1">
      <alignment horizontal="center" vertical="center"/>
    </xf>
    <xf borderId="32" fillId="8" fontId="1" numFmtId="0" xfId="0" applyAlignment="1" applyBorder="1" applyFill="1" applyFont="1">
      <alignment horizontal="left" vertical="center"/>
    </xf>
    <xf borderId="33" fillId="8" fontId="13" numFmtId="164" xfId="0" applyAlignment="1" applyBorder="1" applyFill="1" applyFont="1" applyNumberFormat="1">
      <alignment horizontal="right" vertical="center"/>
    </xf>
    <xf borderId="33" fillId="8" fontId="15" numFmtId="0" xfId="0" applyAlignment="1" applyBorder="1" applyFill="1" applyFont="1">
      <alignment horizontal="center" vertical="center"/>
    </xf>
    <xf borderId="35" fillId="8" fontId="15" numFmtId="0" xfId="0" applyAlignment="1" applyBorder="1" applyFill="1" applyFont="1">
      <alignment horizontal="left" vertical="center"/>
    </xf>
    <xf borderId="32" fillId="6" fontId="1" numFmtId="0" xfId="0" applyAlignment="1" applyBorder="1" applyFill="1" applyFont="1">
      <alignment horizontal="left" vertical="center"/>
    </xf>
    <xf borderId="38" fillId="9" fontId="12" numFmtId="0" xfId="0" applyAlignment="1" applyBorder="1" applyFill="1" applyFont="1">
      <alignment horizontal="left" vertical="center"/>
    </xf>
    <xf borderId="39" fillId="9" fontId="12" numFmtId="164" xfId="0" applyAlignment="1" applyBorder="1" applyFill="1" applyFont="1" applyNumberFormat="1">
      <alignment horizontal="right" vertical="center"/>
    </xf>
    <xf borderId="40" fillId="9" fontId="12" numFmtId="165" xfId="0" applyAlignment="1" applyBorder="1" applyFill="1" applyFont="1" applyNumberFormat="1">
      <alignment horizontal="center" vertical="center"/>
    </xf>
    <xf borderId="39" fillId="9" fontId="12" numFmtId="0" xfId="0" applyAlignment="1" applyBorder="1" applyFill="1" applyFont="1">
      <alignment horizontal="center" vertical="center"/>
    </xf>
    <xf borderId="41" fillId="9" fontId="12" numFmtId="0" xfId="0" applyAlignment="1" applyBorder="1" applyFill="1" applyFont="1">
      <alignment horizontal="left" vertical="center"/>
    </xf>
    <xf borderId="42" fillId="0" fontId="3" numFmtId="0" xfId="0" applyBorder="1" applyFont="1"/>
    <xf borderId="43" fillId="0" fontId="3" numFmtId="0" xfId="0" applyBorder="1" applyFont="1"/>
    <xf borderId="23" fillId="7" fontId="14" numFmtId="0" xfId="0" applyAlignment="1" applyBorder="1" applyFill="1" applyFont="1">
      <alignment horizontal="left" vertical="center"/>
    </xf>
    <xf borderId="44" fillId="6" fontId="13" numFmtId="0" xfId="0" applyAlignment="1" applyBorder="1" applyFill="1" applyFont="1">
      <alignment horizontal="left" vertical="center"/>
    </xf>
    <xf borderId="45" fillId="0" fontId="3" numFmtId="0" xfId="0" applyBorder="1" applyFont="1"/>
    <xf borderId="35" fillId="6" fontId="13" numFmtId="164" xfId="0" applyAlignment="1" applyBorder="1" applyFill="1" applyFont="1" applyNumberFormat="1">
      <alignment horizontal="right" vertical="center"/>
    </xf>
    <xf borderId="33" fillId="6" fontId="1" numFmtId="165" xfId="0" applyAlignment="1" applyBorder="1" applyFill="1" applyFont="1" applyNumberFormat="1">
      <alignment horizontal="center" vertical="center"/>
    </xf>
    <xf borderId="33" fillId="6" fontId="1" numFmtId="0" xfId="0" applyAlignment="1" applyBorder="1" applyFill="1" applyFont="1">
      <alignment horizontal="center" vertical="center"/>
    </xf>
    <xf borderId="34" fillId="6" fontId="1" numFmtId="164" xfId="0" applyAlignment="1" applyBorder="1" applyFill="1" applyFont="1" applyNumberFormat="1">
      <alignment horizontal="right" vertical="center"/>
    </xf>
    <xf borderId="44" fillId="8" fontId="13" numFmtId="0" xfId="0" applyAlignment="1" applyBorder="1" applyFill="1" applyFont="1">
      <alignment horizontal="left" vertical="center"/>
    </xf>
    <xf borderId="35" fillId="8" fontId="13" numFmtId="164" xfId="0" applyAlignment="1" applyBorder="1" applyFill="1" applyFont="1" applyNumberFormat="1">
      <alignment horizontal="right" vertical="center"/>
    </xf>
    <xf borderId="33" fillId="8" fontId="1" numFmtId="165" xfId="0" applyAlignment="1" applyBorder="1" applyFill="1" applyFont="1" applyNumberFormat="1">
      <alignment horizontal="center" vertical="center"/>
    </xf>
    <xf borderId="33" fillId="8" fontId="1" numFmtId="0" xfId="0" applyAlignment="1" applyBorder="1" applyFill="1" applyFont="1">
      <alignment horizontal="center" vertical="center"/>
    </xf>
    <xf borderId="34" fillId="8" fontId="1" numFmtId="164" xfId="0" applyAlignment="1" applyBorder="1" applyFill="1" applyFont="1" applyNumberFormat="1">
      <alignment horizontal="right" vertical="center"/>
    </xf>
    <xf borderId="35" fillId="8" fontId="13" numFmtId="3" xfId="0" applyAlignment="1" applyBorder="1" applyFill="1" applyFont="1" applyNumberFormat="1">
      <alignment horizontal="center" vertical="center"/>
    </xf>
    <xf borderId="35" fillId="6" fontId="13" numFmtId="3" xfId="0" applyAlignment="1" applyBorder="1" applyFill="1" applyFont="1" applyNumberFormat="1">
      <alignment horizontal="center" vertical="center"/>
    </xf>
    <xf borderId="46" fillId="9" fontId="12" numFmtId="0" xfId="0" applyAlignment="1" applyBorder="1" applyFill="1" applyFont="1">
      <alignment horizontal="left" vertical="center"/>
    </xf>
    <xf borderId="47" fillId="0" fontId="3" numFmtId="0" xfId="0" applyBorder="1" applyFont="1"/>
    <xf borderId="41" fillId="9" fontId="12" numFmtId="49" xfId="0" applyAlignment="1" applyBorder="1" applyFill="1" applyFont="1" applyNumberFormat="1">
      <alignment horizontal="center" vertical="center"/>
    </xf>
    <xf borderId="48" fillId="6" fontId="13" numFmtId="0" xfId="0" applyAlignment="1" applyBorder="1" applyFill="1" applyFont="1">
      <alignment horizontal="left" vertical="center"/>
    </xf>
    <xf borderId="49" fillId="6" fontId="1" numFmtId="164" xfId="0" applyAlignment="1" applyBorder="1" applyFill="1" applyFont="1" applyNumberFormat="1">
      <alignment horizontal="right" vertical="center"/>
    </xf>
    <xf borderId="49" fillId="6" fontId="1" numFmtId="165" xfId="0" applyAlignment="1" applyBorder="1" applyFill="1" applyFont="1" applyNumberFormat="1">
      <alignment horizontal="center" vertical="center"/>
    </xf>
    <xf borderId="49" fillId="6" fontId="1" numFmtId="0" xfId="0" applyAlignment="1" applyBorder="1" applyFill="1" applyFont="1">
      <alignment horizontal="center" vertical="center"/>
    </xf>
    <xf borderId="50" fillId="6" fontId="1" numFmtId="164" xfId="0" applyAlignment="1" applyBorder="1" applyFill="1" applyFont="1" applyNumberFormat="1">
      <alignment horizontal="right" vertical="center"/>
    </xf>
    <xf borderId="34" fillId="6" fontId="1" numFmtId="0" xfId="0" applyAlignment="1" applyBorder="1" applyFill="1" applyFont="1">
      <alignment horizontal="center" vertical="center"/>
    </xf>
    <xf borderId="34" fillId="6" fontId="15" numFmtId="0" xfId="0" applyAlignment="1" applyBorder="1" applyFill="1" applyFont="1">
      <alignment horizontal="left" vertical="center"/>
    </xf>
    <xf borderId="34" fillId="8" fontId="1" numFmtId="0" xfId="0" applyAlignment="1" applyBorder="1" applyFill="1" applyFont="1">
      <alignment horizontal="center" vertical="center"/>
    </xf>
    <xf borderId="33" fillId="8" fontId="13" numFmtId="3" xfId="0" applyAlignment="1" applyBorder="1" applyFill="1" applyFont="1" applyNumberFormat="1">
      <alignment horizontal="center" vertical="center"/>
    </xf>
    <xf borderId="34" fillId="8" fontId="15" numFmtId="0" xfId="0" applyAlignment="1" applyBorder="1" applyFill="1" applyFont="1">
      <alignment horizontal="left" vertical="center"/>
    </xf>
    <xf borderId="40" fillId="9" fontId="12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48" fillId="8" fontId="13" numFmtId="0" xfId="0" applyAlignment="1" applyBorder="1" applyFill="1" applyFont="1">
      <alignment horizontal="left" vertical="center"/>
    </xf>
    <xf borderId="49" fillId="8" fontId="13" numFmtId="165" xfId="0" applyAlignment="1" applyBorder="1" applyFill="1" applyFont="1" applyNumberFormat="1">
      <alignment horizontal="center" vertical="center"/>
    </xf>
    <xf borderId="49" fillId="8" fontId="1" numFmtId="0" xfId="0" applyAlignment="1" applyBorder="1" applyFill="1" applyFont="1">
      <alignment horizontal="center" vertical="center"/>
    </xf>
    <xf borderId="50" fillId="8" fontId="15" numFmtId="0" xfId="0" applyAlignment="1" applyBorder="1" applyFill="1" applyFont="1">
      <alignment horizontal="left" vertical="center"/>
    </xf>
    <xf borderId="29" fillId="7" fontId="14" numFmtId="166" xfId="0" applyAlignment="1" applyBorder="1" applyFill="1" applyFont="1" applyNumberFormat="1">
      <alignment horizontal="center" vertical="center"/>
    </xf>
    <xf borderId="51" fillId="0" fontId="3" numFmtId="0" xfId="0" applyBorder="1" applyFont="1"/>
    <xf borderId="27" fillId="7" fontId="14" numFmtId="166" xfId="0" applyAlignment="1" applyBorder="1" applyFill="1" applyFont="1" applyNumberFormat="1">
      <alignment horizontal="center" vertical="center"/>
    </xf>
    <xf borderId="33" fillId="10" fontId="16" numFmtId="0" xfId="0" applyAlignment="1" applyBorder="1" applyFill="1" applyFont="1">
      <alignment horizontal="center" vertical="center"/>
    </xf>
    <xf borderId="34" fillId="6" fontId="15" numFmtId="0" xfId="0" applyAlignment="1" applyBorder="1" applyFill="1" applyFont="1">
      <alignment horizontal="center" vertical="center"/>
    </xf>
    <xf borderId="34" fillId="8" fontId="15" numFmtId="0" xfId="0" applyAlignment="1" applyBorder="1" applyFill="1" applyFont="1">
      <alignment horizontal="center" vertical="center"/>
    </xf>
    <xf borderId="41" fillId="9" fontId="12" numFmtId="164" xfId="0" applyAlignment="1" applyBorder="1" applyFill="1" applyFont="1" applyNumberFormat="1">
      <alignment horizontal="right" vertical="center"/>
    </xf>
    <xf borderId="39" fillId="2" fontId="17" numFmtId="0" xfId="0" applyAlignment="1" applyBorder="1" applyFill="1" applyFont="1">
      <alignment horizontal="center" vertical="center"/>
    </xf>
    <xf borderId="1" fillId="6" fontId="1" numFmtId="0" xfId="0" applyBorder="1" applyFill="1" applyFont="1"/>
    <xf borderId="52" fillId="7" fontId="14" numFmtId="0" xfId="0" applyAlignment="1" applyBorder="1" applyFill="1" applyFont="1">
      <alignment horizontal="center" readingOrder="0" shrinkToFit="0" vertical="center" wrapText="0"/>
    </xf>
    <xf borderId="53" fillId="7" fontId="14" numFmtId="0" xfId="0" applyAlignment="1" applyBorder="1" applyFill="1" applyFont="1">
      <alignment horizontal="center" readingOrder="0" shrinkToFit="0" vertical="center" wrapText="0"/>
    </xf>
    <xf borderId="53" fillId="11" fontId="14" numFmtId="0" xfId="0" applyAlignment="1" applyBorder="1" applyFill="1" applyFont="1">
      <alignment horizontal="center" readingOrder="0" shrinkToFit="0" vertical="center" wrapText="0"/>
    </xf>
    <xf borderId="54" fillId="11" fontId="14" numFmtId="0" xfId="0" applyAlignment="1" applyBorder="1" applyFill="1" applyFont="1">
      <alignment horizontal="center" vertical="center"/>
    </xf>
    <xf borderId="32" fillId="6" fontId="13" numFmtId="0" xfId="0" applyAlignment="1" applyBorder="1" applyFill="1" applyFont="1">
      <alignment horizontal="center" shrinkToFit="0" vertical="center" wrapText="0"/>
    </xf>
    <xf borderId="33" fillId="6" fontId="1" numFmtId="167" xfId="0" applyAlignment="1" applyBorder="1" applyFill="1" applyFont="1" applyNumberFormat="1">
      <alignment horizontal="center" shrinkToFit="0" vertical="center" wrapText="0"/>
    </xf>
    <xf borderId="33" fillId="6" fontId="1" numFmtId="0" xfId="0" applyAlignment="1" applyBorder="1" applyFill="1" applyFont="1">
      <alignment horizontal="center" shrinkToFit="0" vertical="center" wrapText="0"/>
    </xf>
    <xf borderId="33" fillId="6" fontId="1" numFmtId="0" xfId="0" applyAlignment="1" applyBorder="1" applyFill="1" applyFont="1">
      <alignment horizontal="left" readingOrder="0" shrinkToFit="0" vertical="center" wrapText="0"/>
    </xf>
    <xf borderId="33" fillId="6" fontId="13" numFmtId="164" xfId="0" applyAlignment="1" applyBorder="1" applyFill="1" applyFont="1" applyNumberFormat="1">
      <alignment horizontal="right" shrinkToFit="0" vertical="center" wrapText="0"/>
    </xf>
    <xf borderId="33" fillId="6" fontId="1" numFmtId="0" xfId="0" applyAlignment="1" applyBorder="1" applyFill="1" applyFont="1">
      <alignment horizontal="center" readingOrder="0" shrinkToFit="0" vertical="center" wrapText="0"/>
    </xf>
    <xf borderId="33" fillId="6" fontId="1" numFmtId="1" xfId="0" applyAlignment="1" applyBorder="1" applyFill="1" applyFont="1" applyNumberFormat="1">
      <alignment horizontal="center" shrinkToFit="0" vertical="center" wrapText="0"/>
    </xf>
    <xf borderId="33" fillId="6" fontId="15" numFmtId="3" xfId="0" applyAlignment="1" applyBorder="1" applyFill="1" applyFont="1" applyNumberFormat="1">
      <alignment horizontal="center" shrinkToFit="0" vertical="center" wrapText="0"/>
    </xf>
    <xf borderId="32" fillId="8" fontId="13" numFmtId="0" xfId="0" applyAlignment="1" applyBorder="1" applyFill="1" applyFont="1">
      <alignment horizontal="center" shrinkToFit="0" vertical="center" wrapText="0"/>
    </xf>
    <xf borderId="33" fillId="8" fontId="1" numFmtId="167" xfId="0" applyAlignment="1" applyBorder="1" applyFill="1" applyFont="1" applyNumberFormat="1">
      <alignment horizontal="center" shrinkToFit="0" vertical="center" wrapText="0"/>
    </xf>
    <xf borderId="33" fillId="8" fontId="1" numFmtId="0" xfId="0" applyAlignment="1" applyBorder="1" applyFill="1" applyFont="1">
      <alignment horizontal="center" shrinkToFit="0" vertical="center" wrapText="0"/>
    </xf>
    <xf borderId="33" fillId="8" fontId="1" numFmtId="0" xfId="0" applyAlignment="1" applyBorder="1" applyFill="1" applyFont="1">
      <alignment horizontal="left" shrinkToFit="0" vertical="center" wrapText="0"/>
    </xf>
    <xf borderId="33" fillId="8" fontId="13" numFmtId="164" xfId="0" applyAlignment="1" applyBorder="1" applyFill="1" applyFont="1" applyNumberFormat="1">
      <alignment horizontal="right" shrinkToFit="0" vertical="center" wrapText="0"/>
    </xf>
    <xf borderId="33" fillId="8" fontId="1" numFmtId="1" xfId="0" applyAlignment="1" applyBorder="1" applyFill="1" applyFont="1" applyNumberFormat="1">
      <alignment horizontal="center" shrinkToFit="0" vertical="center" wrapText="0"/>
    </xf>
    <xf borderId="33" fillId="8" fontId="15" numFmtId="3" xfId="0" applyAlignment="1" applyBorder="1" applyFill="1" applyFont="1" applyNumberFormat="1">
      <alignment horizontal="center" shrinkToFit="0" vertical="center" wrapText="0"/>
    </xf>
    <xf borderId="33" fillId="6" fontId="1" numFmtId="0" xfId="0" applyAlignment="1" applyBorder="1" applyFill="1" applyFont="1">
      <alignment horizontal="left" shrinkToFit="0" vertical="center" wrapText="0"/>
    </xf>
    <xf borderId="34" fillId="8" fontId="15" numFmtId="167" xfId="0" applyAlignment="1" applyBorder="1" applyFill="1" applyFont="1" applyNumberFormat="1">
      <alignment horizontal="center" vertical="center"/>
    </xf>
    <xf borderId="34" fillId="6" fontId="15" numFmtId="167" xfId="0" applyAlignment="1" applyBorder="1" applyFill="1" applyFont="1" applyNumberFormat="1">
      <alignment horizontal="center" vertical="center"/>
    </xf>
    <xf borderId="32" fillId="8" fontId="13" numFmtId="0" xfId="0" applyAlignment="1" applyBorder="1" applyFill="1" applyFont="1">
      <alignment horizontal="center" vertical="center"/>
    </xf>
    <xf borderId="33" fillId="8" fontId="1" numFmtId="167" xfId="0" applyAlignment="1" applyBorder="1" applyFill="1" applyFont="1" applyNumberFormat="1">
      <alignment horizontal="center" vertical="center"/>
    </xf>
    <xf borderId="33" fillId="8" fontId="1" numFmtId="0" xfId="0" applyAlignment="1" applyBorder="1" applyFill="1" applyFont="1">
      <alignment horizontal="left" vertical="center"/>
    </xf>
    <xf borderId="33" fillId="8" fontId="1" numFmtId="1" xfId="0" applyAlignment="1" applyBorder="1" applyFill="1" applyFont="1" applyNumberFormat="1">
      <alignment horizontal="center" vertical="center"/>
    </xf>
    <xf borderId="33" fillId="8" fontId="15" numFmtId="3" xfId="0" applyAlignment="1" applyBorder="1" applyFill="1" applyFont="1" applyNumberFormat="1">
      <alignment horizontal="center" vertical="center"/>
    </xf>
    <xf borderId="48" fillId="6" fontId="13" numFmtId="0" xfId="0" applyAlignment="1" applyBorder="1" applyFill="1" applyFont="1">
      <alignment horizontal="center" vertical="center"/>
    </xf>
    <xf borderId="49" fillId="6" fontId="1" numFmtId="167" xfId="0" applyAlignment="1" applyBorder="1" applyFill="1" applyFont="1" applyNumberFormat="1">
      <alignment horizontal="center" vertical="center"/>
    </xf>
    <xf borderId="49" fillId="6" fontId="1" numFmtId="0" xfId="0" applyAlignment="1" applyBorder="1" applyFill="1" applyFont="1">
      <alignment horizontal="left" vertical="center"/>
    </xf>
    <xf borderId="49" fillId="6" fontId="13" numFmtId="164" xfId="0" applyAlignment="1" applyBorder="1" applyFill="1" applyFont="1" applyNumberFormat="1">
      <alignment horizontal="right" vertical="center"/>
    </xf>
    <xf borderId="49" fillId="6" fontId="1" numFmtId="1" xfId="0" applyAlignment="1" applyBorder="1" applyFill="1" applyFont="1" applyNumberFormat="1">
      <alignment horizontal="center" vertical="center"/>
    </xf>
    <xf borderId="49" fillId="6" fontId="15" numFmtId="3" xfId="0" applyAlignment="1" applyBorder="1" applyFill="1" applyFont="1" applyNumberFormat="1">
      <alignment horizontal="center" vertical="center"/>
    </xf>
    <xf borderId="50" fillId="6" fontId="15" numFmtId="0" xfId="0" applyAlignment="1" applyBorder="1" applyFill="1" applyFont="1">
      <alignment horizontal="center" vertical="center"/>
    </xf>
    <xf borderId="52" fillId="7" fontId="14" numFmtId="0" xfId="0" applyAlignment="1" applyBorder="1" applyFill="1" applyFont="1">
      <alignment horizontal="center" vertical="center"/>
    </xf>
    <xf borderId="53" fillId="7" fontId="14" numFmtId="0" xfId="0" applyAlignment="1" applyBorder="1" applyFill="1" applyFont="1">
      <alignment horizontal="center" vertical="center"/>
    </xf>
    <xf borderId="54" fillId="7" fontId="14" numFmtId="0" xfId="0" applyAlignment="1" applyBorder="1" applyFill="1" applyFont="1">
      <alignment horizontal="center" vertical="center"/>
    </xf>
    <xf borderId="32" fillId="6" fontId="13" numFmtId="0" xfId="0" applyAlignment="1" applyBorder="1" applyFill="1" applyFont="1">
      <alignment horizontal="center" vertical="center"/>
    </xf>
    <xf borderId="33" fillId="6" fontId="1" numFmtId="1" xfId="0" applyAlignment="1" applyBorder="1" applyFill="1" applyFont="1" applyNumberFormat="1">
      <alignment horizontal="center" vertical="center"/>
    </xf>
    <xf borderId="33" fillId="6" fontId="1" numFmtId="167" xfId="0" applyAlignment="1" applyBorder="1" applyFill="1" applyFont="1" applyNumberFormat="1">
      <alignment horizontal="center" vertical="center"/>
    </xf>
    <xf borderId="33" fillId="6" fontId="1" numFmtId="0" xfId="0" applyAlignment="1" applyBorder="1" applyFill="1" applyFont="1">
      <alignment horizontal="left" vertical="center"/>
    </xf>
    <xf borderId="34" fillId="6" fontId="1" numFmtId="0" xfId="0" applyAlignment="1" applyBorder="1" applyFill="1" applyFont="1">
      <alignment horizontal="left" vertical="center"/>
    </xf>
    <xf borderId="34" fillId="8" fontId="1" numFmtId="0" xfId="0" applyAlignment="1" applyBorder="1" applyFill="1" applyFont="1">
      <alignment horizontal="left" vertical="center"/>
    </xf>
    <xf borderId="48" fillId="8" fontId="13" numFmtId="0" xfId="0" applyAlignment="1" applyBorder="1" applyFill="1" applyFont="1">
      <alignment horizontal="center" vertical="center"/>
    </xf>
    <xf borderId="49" fillId="8" fontId="1" numFmtId="1" xfId="0" applyAlignment="1" applyBorder="1" applyFill="1" applyFont="1" applyNumberFormat="1">
      <alignment horizontal="center" vertical="center"/>
    </xf>
    <xf borderId="49" fillId="8" fontId="1" numFmtId="164" xfId="0" applyAlignment="1" applyBorder="1" applyFill="1" applyFont="1" applyNumberFormat="1">
      <alignment horizontal="right" vertical="center"/>
    </xf>
    <xf borderId="49" fillId="8" fontId="13" numFmtId="164" xfId="0" applyAlignment="1" applyBorder="1" applyFill="1" applyFont="1" applyNumberFormat="1">
      <alignment horizontal="right" vertical="center"/>
    </xf>
    <xf borderId="49" fillId="8" fontId="1" numFmtId="167" xfId="0" applyAlignment="1" applyBorder="1" applyFill="1" applyFont="1" applyNumberFormat="1">
      <alignment horizontal="center" vertical="center"/>
    </xf>
    <xf borderId="49" fillId="10" fontId="16" numFmtId="0" xfId="0" applyAlignment="1" applyBorder="1" applyFill="1" applyFont="1">
      <alignment horizontal="center" vertical="center"/>
    </xf>
    <xf borderId="49" fillId="8" fontId="1" numFmtId="0" xfId="0" applyAlignment="1" applyBorder="1" applyFill="1" applyFont="1">
      <alignment horizontal="left" vertical="center"/>
    </xf>
    <xf borderId="50" fillId="8" fontId="1" numFmtId="0" xfId="0" applyAlignment="1" applyBorder="1" applyFill="1" applyFont="1">
      <alignment horizontal="left" vertical="center"/>
    </xf>
    <xf borderId="55" fillId="7" fontId="14" numFmtId="49" xfId="0" applyAlignment="1" applyBorder="1" applyFill="1" applyFont="1" applyNumberFormat="1">
      <alignment horizontal="center" vertical="center"/>
    </xf>
    <xf borderId="29" fillId="7" fontId="14" numFmtId="49" xfId="0" applyAlignment="1" applyBorder="1" applyFill="1" applyFont="1" applyNumberFormat="1">
      <alignment horizontal="center" vertical="center"/>
    </xf>
    <xf borderId="28" fillId="7" fontId="14" numFmtId="49" xfId="0" applyAlignment="1" applyBorder="1" applyFill="1" applyFont="1" applyNumberFormat="1">
      <alignment horizontal="center" vertical="center"/>
    </xf>
    <xf borderId="44" fillId="6" fontId="13" numFmtId="49" xfId="0" applyAlignment="1" applyBorder="1" applyFill="1" applyFont="1" applyNumberFormat="1">
      <alignment horizontal="left" vertical="center"/>
    </xf>
    <xf borderId="35" fillId="6" fontId="1" numFmtId="49" xfId="0" applyAlignment="1" applyBorder="1" applyFill="1" applyFont="1" applyNumberFormat="1">
      <alignment horizontal="left" vertical="center"/>
    </xf>
    <xf borderId="35" fillId="6" fontId="1" numFmtId="49" xfId="0" applyAlignment="1" applyBorder="1" applyFill="1" applyFont="1" applyNumberFormat="1">
      <alignment horizontal="center" vertical="center"/>
    </xf>
    <xf borderId="34" fillId="6" fontId="15" numFmtId="49" xfId="0" applyAlignment="1" applyBorder="1" applyFill="1" applyFont="1" applyNumberFormat="1">
      <alignment horizontal="left" vertical="center"/>
    </xf>
    <xf borderId="44" fillId="8" fontId="13" numFmtId="49" xfId="0" applyAlignment="1" applyBorder="1" applyFill="1" applyFont="1" applyNumberFormat="1">
      <alignment horizontal="left" vertical="center"/>
    </xf>
    <xf borderId="35" fillId="8" fontId="1" numFmtId="49" xfId="0" applyAlignment="1" applyBorder="1" applyFill="1" applyFont="1" applyNumberFormat="1">
      <alignment horizontal="left" vertical="center"/>
    </xf>
    <xf borderId="35" fillId="8" fontId="1" numFmtId="49" xfId="0" applyAlignment="1" applyBorder="1" applyFill="1" applyFont="1" applyNumberFormat="1">
      <alignment horizontal="center" vertical="center"/>
    </xf>
    <xf borderId="34" fillId="8" fontId="15" numFmtId="49" xfId="0" applyAlignment="1" applyBorder="1" applyFill="1" applyFont="1" applyNumberFormat="1">
      <alignment horizontal="left" vertical="center"/>
    </xf>
    <xf borderId="46" fillId="9" fontId="12" numFmtId="49" xfId="0" applyAlignment="1" applyBorder="1" applyFill="1" applyFont="1" applyNumberFormat="1">
      <alignment horizontal="left" vertical="center"/>
    </xf>
    <xf borderId="40" fillId="9" fontId="12" numFmtId="49" xfId="0" applyAlignment="1" applyBorder="1" applyFill="1" applyFont="1" applyNumberFormat="1">
      <alignment horizontal="left" vertical="center"/>
    </xf>
    <xf borderId="56" fillId="6" fontId="7" numFmtId="0" xfId="0" applyAlignment="1" applyBorder="1" applyFill="1" applyFont="1">
      <alignment horizontal="center" vertical="center"/>
    </xf>
    <xf borderId="57" fillId="6" fontId="11" numFmtId="164" xfId="0" applyAlignment="1" applyBorder="1" applyFill="1" applyFont="1" applyNumberFormat="1">
      <alignment horizontal="center" vertical="center"/>
    </xf>
    <xf borderId="1" fillId="6" fontId="1" numFmtId="14" xfId="0" applyBorder="1" applyFill="1" applyFont="1" applyNumberFormat="1"/>
    <xf borderId="1" fillId="6" fontId="1" numFmtId="168" xfId="0" applyBorder="1" applyFill="1" applyFont="1" applyNumberFormat="1"/>
    <xf borderId="54" fillId="7" fontId="14" numFmtId="0" xfId="0" applyAlignment="1" applyBorder="1" applyFill="1" applyFont="1">
      <alignment horizontal="center" readingOrder="0" shrinkToFit="0" vertical="center" wrapText="0"/>
    </xf>
    <xf borderId="32" fillId="6" fontId="13" numFmtId="0" xfId="0" applyAlignment="1" applyBorder="1" applyFill="1" applyFont="1">
      <alignment horizontal="left" shrinkToFit="0" vertical="center" wrapText="0"/>
    </xf>
    <xf borderId="33" fillId="6" fontId="1" numFmtId="164" xfId="0" applyAlignment="1" applyBorder="1" applyFill="1" applyFont="1" applyNumberFormat="1">
      <alignment horizontal="right" shrinkToFit="0" vertical="center" wrapText="0"/>
    </xf>
    <xf borderId="33" fillId="6" fontId="1" numFmtId="165" xfId="0" applyAlignment="1" applyBorder="1" applyFill="1" applyFont="1" applyNumberFormat="1">
      <alignment horizontal="center" shrinkToFit="0" vertical="center" wrapText="0"/>
    </xf>
    <xf borderId="34" fillId="6" fontId="15" numFmtId="0" xfId="0" applyAlignment="1" applyBorder="1" applyFill="1" applyFont="1">
      <alignment horizontal="left" shrinkToFit="0" vertical="center" wrapText="0"/>
    </xf>
    <xf borderId="32" fillId="8" fontId="13" numFmtId="0" xfId="0" applyAlignment="1" applyBorder="1" applyFill="1" applyFont="1">
      <alignment horizontal="left" shrinkToFit="0" vertical="center" wrapText="0"/>
    </xf>
    <xf borderId="33" fillId="8" fontId="1" numFmtId="164" xfId="0" applyAlignment="1" applyBorder="1" applyFill="1" applyFont="1" applyNumberFormat="1">
      <alignment horizontal="right" shrinkToFit="0" vertical="center" wrapText="0"/>
    </xf>
    <xf borderId="33" fillId="8" fontId="1" numFmtId="165" xfId="0" applyAlignment="1" applyBorder="1" applyFill="1" applyFont="1" applyNumberFormat="1">
      <alignment horizontal="center" shrinkToFit="0" vertical="center" wrapText="0"/>
    </xf>
    <xf borderId="34" fillId="8" fontId="15" numFmtId="0" xfId="0" applyAlignment="1" applyBorder="1" applyFill="1" applyFont="1">
      <alignment horizontal="left" shrinkToFit="0" vertical="center" wrapText="0"/>
    </xf>
    <xf borderId="38" fillId="9" fontId="12" numFmtId="0" xfId="0" applyAlignment="1" applyBorder="1" applyFill="1" applyFont="1">
      <alignment horizontal="left" shrinkToFit="0" vertical="center" wrapText="0"/>
    </xf>
    <xf borderId="39" fillId="9" fontId="12" numFmtId="164" xfId="0" applyAlignment="1" applyBorder="1" applyFill="1" applyFont="1" applyNumberFormat="1">
      <alignment horizontal="right" shrinkToFit="0" vertical="center" wrapText="0"/>
    </xf>
    <xf borderId="39" fillId="9" fontId="12" numFmtId="165" xfId="0" applyAlignment="1" applyBorder="1" applyFill="1" applyFont="1" applyNumberFormat="1">
      <alignment horizontal="center" shrinkToFit="0" vertical="center" wrapText="0"/>
    </xf>
    <xf borderId="40" fillId="9" fontId="12" numFmtId="0" xfId="0" applyAlignment="1" applyBorder="1" applyFill="1" applyFont="1">
      <alignment horizontal="left" shrinkToFit="0" vertical="center" wrapText="0"/>
    </xf>
    <xf borderId="52" fillId="11" fontId="14" numFmtId="0" xfId="0" applyAlignment="1" applyBorder="1" applyFill="1" applyFont="1">
      <alignment horizontal="center" readingOrder="0" shrinkToFit="0" vertical="center" wrapText="0"/>
    </xf>
    <xf borderId="54" fillId="11" fontId="14" numFmtId="0" xfId="0" applyAlignment="1" applyBorder="1" applyFill="1" applyFont="1">
      <alignment horizontal="center" readingOrder="0" shrinkToFit="0" vertical="center" wrapText="0"/>
    </xf>
    <xf borderId="34" fillId="6" fontId="1" numFmtId="0" xfId="0" applyAlignment="1" applyBorder="1" applyFill="1" applyFont="1">
      <alignment horizontal="left" shrinkToFit="0" vertical="center" wrapText="0"/>
    </xf>
    <xf borderId="34" fillId="8" fontId="1" numFmtId="0" xfId="0" applyAlignment="1" applyBorder="1" applyFill="1" applyFont="1">
      <alignment horizontal="left" shrinkToFit="0" vertical="center" wrapText="0"/>
    </xf>
    <xf borderId="33" fillId="8" fontId="1" numFmtId="14" xfId="0" applyAlignment="1" applyBorder="1" applyFill="1" applyFont="1" applyNumberFormat="1">
      <alignment horizontal="center" shrinkToFit="0" vertical="center" wrapText="0"/>
    </xf>
    <xf borderId="33" fillId="6" fontId="1" numFmtId="14" xfId="0" applyAlignment="1" applyBorder="1" applyFill="1" applyFont="1" applyNumberFormat="1">
      <alignment horizontal="center" shrinkToFit="0" vertical="center" wrapText="0"/>
    </xf>
    <xf borderId="50" fillId="6" fontId="1" numFmtId="0" xfId="0" applyAlignment="1" applyBorder="1" applyFill="1" applyFont="1">
      <alignment horizontal="left" vertical="center"/>
    </xf>
    <xf borderId="58" fillId="0" fontId="3" numFmtId="0" xfId="0" applyBorder="1" applyFont="1"/>
    <xf borderId="33" fillId="6" fontId="13" numFmtId="0" xfId="0" applyAlignment="1" applyBorder="1" applyFill="1" applyFont="1">
      <alignment horizontal="left" shrinkToFit="0" vertical="center" wrapText="0"/>
    </xf>
    <xf borderId="33" fillId="8" fontId="13" numFmtId="0" xfId="0" applyAlignment="1" applyBorder="1" applyFill="1" applyFont="1">
      <alignment horizontal="left" shrinkToFit="0" vertical="center" wrapText="0"/>
    </xf>
    <xf borderId="49" fillId="6" fontId="13" numFmtId="0" xfId="0" applyAlignment="1" applyBorder="1" applyFill="1" applyFont="1">
      <alignment horizontal="left" vertical="center"/>
    </xf>
    <xf borderId="1" fillId="6" fontId="1" numFmtId="166" xfId="0" applyAlignment="1" applyBorder="1" applyFill="1" applyFont="1" applyNumberFormat="1">
      <alignment horizontal="right"/>
    </xf>
    <xf borderId="33" fillId="6" fontId="13" numFmtId="165" xfId="0" applyAlignment="1" applyBorder="1" applyFill="1" applyFont="1" applyNumberFormat="1">
      <alignment horizontal="center" shrinkToFit="0" vertical="center" wrapText="0"/>
    </xf>
    <xf borderId="33" fillId="6" fontId="18" numFmtId="0" xfId="0" applyAlignment="1" applyBorder="1" applyFill="1" applyFont="1">
      <alignment horizontal="center" shrinkToFit="0" vertical="center" wrapText="0"/>
    </xf>
    <xf borderId="33" fillId="8" fontId="13" numFmtId="165" xfId="0" applyAlignment="1" applyBorder="1" applyFill="1" applyFont="1" applyNumberFormat="1">
      <alignment horizontal="center" shrinkToFit="0" vertical="center" wrapText="0"/>
    </xf>
    <xf borderId="33" fillId="8" fontId="18" numFmtId="0" xfId="0" applyAlignment="1" applyBorder="1" applyFill="1" applyFont="1">
      <alignment horizontal="center" shrinkToFit="0" vertical="center" wrapText="0"/>
    </xf>
    <xf borderId="39" fillId="9" fontId="12" numFmtId="165" xfId="0" applyAlignment="1" applyBorder="1" applyFill="1" applyFont="1" applyNumberFormat="1">
      <alignment horizontal="center" vertical="center"/>
    </xf>
    <xf borderId="40" fillId="9" fontId="12" numFmtId="0" xfId="0" applyAlignment="1" applyBorder="1" applyFill="1" applyFont="1">
      <alignment horizontal="left" vertical="center"/>
    </xf>
    <xf borderId="26" fillId="11" fontId="14" numFmtId="0" xfId="0" applyAlignment="1" applyBorder="1" applyFill="1" applyFont="1">
      <alignment horizontal="center" vertical="center"/>
    </xf>
    <xf borderId="28" fillId="11" fontId="14" numFmtId="0" xfId="0" applyAlignment="1" applyBorder="1" applyFill="1" applyFont="1">
      <alignment horizontal="center" vertical="center"/>
    </xf>
    <xf borderId="34" fillId="6" fontId="13" numFmtId="164" xfId="0" applyAlignment="1" applyBorder="1" applyFill="1" applyFont="1" applyNumberFormat="1">
      <alignment horizontal="right" vertical="center"/>
    </xf>
    <xf borderId="34" fillId="8" fontId="13" numFmtId="164" xfId="0" applyAlignment="1" applyBorder="1" applyFill="1" applyFont="1" applyNumberFormat="1">
      <alignment horizontal="right" vertical="center"/>
    </xf>
    <xf borderId="50" fillId="8" fontId="13" numFmtId="164" xfId="0" applyAlignment="1" applyBorder="1" applyFill="1" applyFont="1" applyNumberFormat="1">
      <alignment horizontal="right" vertical="center"/>
    </xf>
    <xf borderId="17" fillId="6" fontId="11" numFmtId="169" xfId="0" applyAlignment="1" applyBorder="1" applyFill="1" applyFont="1" applyNumberFormat="1">
      <alignment horizontal="center" vertical="center"/>
    </xf>
    <xf borderId="40" fillId="9" fontId="12" numFmtId="164" xfId="0" applyAlignment="1" applyBorder="1" applyFill="1" applyFont="1" applyNumberFormat="1">
      <alignment horizontal="right" vertical="center"/>
    </xf>
    <xf borderId="33" fillId="6" fontId="13" numFmtId="0" xfId="0" applyAlignment="1" applyBorder="1" applyFill="1" applyFont="1">
      <alignment horizontal="left" vertical="center"/>
    </xf>
    <xf borderId="34" fillId="6" fontId="1" numFmtId="1" xfId="0" applyAlignment="1" applyBorder="1" applyFill="1" applyFont="1" applyNumberFormat="1">
      <alignment horizontal="center" vertical="center"/>
    </xf>
    <xf borderId="33" fillId="8" fontId="13" numFmtId="0" xfId="0" applyAlignment="1" applyBorder="1" applyFill="1" applyFont="1">
      <alignment horizontal="left" vertical="center"/>
    </xf>
    <xf borderId="34" fillId="8" fontId="1" numFmtId="1" xfId="0" applyAlignment="1" applyBorder="1" applyFill="1" applyFont="1" applyNumberFormat="1">
      <alignment horizontal="center" vertical="center"/>
    </xf>
    <xf borderId="33" fillId="6" fontId="13" numFmtId="164" xfId="0" applyAlignment="1" applyBorder="1" applyFill="1" applyFont="1" applyNumberFormat="1">
      <alignment horizontal="right" readingOrder="0" vertical="center"/>
    </xf>
    <xf borderId="33" fillId="6" fontId="1" numFmtId="164" xfId="0" applyAlignment="1" applyBorder="1" applyFill="1" applyFont="1" applyNumberFormat="1">
      <alignment horizontal="right" readingOrder="0" vertical="center"/>
    </xf>
    <xf borderId="33" fillId="6" fontId="1" numFmtId="167" xfId="0" applyAlignment="1" applyBorder="1" applyFill="1" applyFont="1" applyNumberFormat="1">
      <alignment horizontal="center" readingOrder="0" vertical="center"/>
    </xf>
    <xf borderId="33" fillId="6" fontId="1" numFmtId="0" xfId="0" applyAlignment="1" applyBorder="1" applyFill="1" applyFont="1">
      <alignment horizontal="center" readingOrder="0" vertical="center"/>
    </xf>
    <xf borderId="50" fillId="6" fontId="1" numFmtId="1" xfId="0" applyAlignment="1" applyBorder="1" applyFill="1" applyFont="1" applyNumberFormat="1">
      <alignment horizontal="center" vertical="center"/>
    </xf>
    <xf borderId="17" fillId="6" fontId="10" numFmtId="165" xfId="0" applyAlignment="1" applyBorder="1" applyFill="1" applyFont="1" applyNumberFormat="1">
      <alignment horizontal="center" vertical="center"/>
    </xf>
    <xf borderId="32" fillId="6" fontId="1" numFmtId="0" xfId="0" applyAlignment="1" applyBorder="1" applyFill="1" applyFont="1">
      <alignment horizontal="center" vertical="center"/>
    </xf>
    <xf borderId="33" fillId="6" fontId="13" numFmtId="165" xfId="0" applyAlignment="1" applyBorder="1" applyFill="1" applyFont="1" applyNumberFormat="1">
      <alignment horizontal="center" vertical="center"/>
    </xf>
    <xf borderId="33" fillId="6" fontId="18" numFmtId="0" xfId="0" applyAlignment="1" applyBorder="1" applyFill="1" applyFont="1">
      <alignment horizontal="center" vertical="center"/>
    </xf>
    <xf borderId="32" fillId="8" fontId="1" numFmtId="0" xfId="0" applyAlignment="1" applyBorder="1" applyFill="1" applyFont="1">
      <alignment horizontal="center" vertical="center"/>
    </xf>
    <xf borderId="33" fillId="8" fontId="13" numFmtId="165" xfId="0" applyAlignment="1" applyBorder="1" applyFill="1" applyFont="1" applyNumberFormat="1">
      <alignment horizontal="center" vertical="center"/>
    </xf>
    <xf borderId="33" fillId="8" fontId="18" numFmtId="0" xfId="0" applyAlignment="1" applyBorder="1" applyFill="1" applyFont="1">
      <alignment horizontal="center" vertical="center"/>
    </xf>
    <xf borderId="48" fillId="8" fontId="1" numFmtId="0" xfId="0" applyAlignment="1" applyBorder="1" applyFill="1" applyFont="1">
      <alignment horizontal="center" vertical="center"/>
    </xf>
    <xf borderId="49" fillId="8" fontId="13" numFmtId="0" xfId="0" applyAlignment="1" applyBorder="1" applyFill="1" applyFont="1">
      <alignment horizontal="left" vertical="center"/>
    </xf>
    <xf borderId="49" fillId="8" fontId="18" numFmtId="0" xfId="0" applyAlignment="1" applyBorder="1" applyFill="1" applyFont="1">
      <alignment horizontal="center" vertical="center"/>
    </xf>
    <xf borderId="50" fillId="8" fontId="1" numFmtId="0" xfId="0" applyAlignment="1" applyBorder="1" applyFill="1" applyFont="1">
      <alignment horizontal="center" vertical="center"/>
    </xf>
    <xf borderId="17" fillId="6" fontId="10" numFmtId="3" xfId="0" applyAlignment="1" applyBorder="1" applyFill="1" applyFont="1" applyNumberFormat="1">
      <alignment horizontal="center" vertical="center"/>
    </xf>
    <xf borderId="48" fillId="6" fontId="1" numFmtId="0" xfId="0" applyAlignment="1" applyBorder="1" applyFill="1" applyFont="1">
      <alignment horizontal="center" vertical="center"/>
    </xf>
    <xf borderId="52" fillId="11" fontId="14" numFmtId="0" xfId="0" applyAlignment="1" applyBorder="1" applyFill="1" applyFont="1">
      <alignment horizontal="center" vertical="center"/>
    </xf>
    <xf borderId="53" fillId="11" fontId="14" numFmtId="0" xfId="0" applyAlignment="1" applyBorder="1" applyFill="1" applyFont="1">
      <alignment horizontal="center" vertical="center"/>
    </xf>
    <xf borderId="32" fillId="6" fontId="1" numFmtId="49" xfId="0" applyAlignment="1" applyBorder="1" applyFill="1" applyFont="1" applyNumberFormat="1">
      <alignment horizontal="center" vertical="center"/>
    </xf>
    <xf borderId="33" fillId="6" fontId="1" numFmtId="49" xfId="0" applyAlignment="1" applyBorder="1" applyFill="1" applyFont="1" applyNumberFormat="1">
      <alignment horizontal="center" vertical="center"/>
    </xf>
    <xf borderId="34" fillId="6" fontId="1" numFmtId="49" xfId="0" applyAlignment="1" applyBorder="1" applyFill="1" applyFont="1" applyNumberFormat="1">
      <alignment horizontal="center" vertical="center"/>
    </xf>
    <xf borderId="32" fillId="8" fontId="1" numFmtId="49" xfId="0" applyAlignment="1" applyBorder="1" applyFill="1" applyFont="1" applyNumberFormat="1">
      <alignment horizontal="center" vertical="center"/>
    </xf>
    <xf borderId="33" fillId="8" fontId="1" numFmtId="49" xfId="0" applyAlignment="1" applyBorder="1" applyFill="1" applyFont="1" applyNumberFormat="1">
      <alignment horizontal="center" vertical="center"/>
    </xf>
    <xf borderId="34" fillId="8" fontId="1" numFmtId="49" xfId="0" applyAlignment="1" applyBorder="1" applyFill="1" applyFont="1" applyNumberFormat="1">
      <alignment horizontal="center" vertical="center"/>
    </xf>
    <xf borderId="59" fillId="6" fontId="1" numFmtId="0" xfId="0" applyBorder="1" applyFill="1" applyFont="1"/>
    <xf borderId="60" fillId="6" fontId="1" numFmtId="0" xfId="0" applyBorder="1" applyFill="1" applyFont="1"/>
    <xf borderId="49" fillId="6" fontId="1" numFmtId="49" xfId="0" applyAlignment="1" applyBorder="1" applyFill="1" applyFont="1" applyNumberFormat="1">
      <alignment horizontal="center" vertical="center"/>
    </xf>
    <xf borderId="50" fillId="6" fontId="1" numFmtId="49" xfId="0" applyAlignment="1" applyBorder="1" applyFill="1" applyFont="1" applyNumberFormat="1">
      <alignment horizontal="center" vertical="center"/>
    </xf>
    <xf borderId="61" fillId="6" fontId="1" numFmtId="0" xfId="0" applyBorder="1" applyFill="1" applyFont="1"/>
    <xf borderId="48" fillId="8" fontId="1" numFmtId="49" xfId="0" applyAlignment="1" applyBorder="1" applyFill="1" applyFont="1" applyNumberFormat="1">
      <alignment horizontal="center" vertical="center"/>
    </xf>
    <xf borderId="62" fillId="6" fontId="1" numFmtId="0" xfId="0" applyBorder="1" applyFill="1" applyFont="1"/>
    <xf borderId="50" fillId="6" fontId="15" numFmtId="0" xfId="0" applyAlignment="1" applyBorder="1" applyFill="1" applyFont="1">
      <alignment horizontal="left" vertical="center"/>
    </xf>
    <xf borderId="32" fillId="6" fontId="13" numFmtId="49" xfId="0" applyAlignment="1" applyBorder="1" applyFill="1" applyFont="1" applyNumberFormat="1">
      <alignment horizontal="left" vertical="center"/>
    </xf>
    <xf borderId="34" fillId="6" fontId="1" numFmtId="49" xfId="0" applyAlignment="1" applyBorder="1" applyFill="1" applyFont="1" applyNumberFormat="1">
      <alignment horizontal="left" shrinkToFit="0" vertical="center" wrapText="1"/>
    </xf>
    <xf borderId="32" fillId="8" fontId="13" numFmtId="49" xfId="0" applyAlignment="1" applyBorder="1" applyFill="1" applyFont="1" applyNumberFormat="1">
      <alignment horizontal="left" vertical="center"/>
    </xf>
    <xf borderId="34" fillId="8" fontId="1" numFmtId="49" xfId="0" applyAlignment="1" applyBorder="1" applyFill="1" applyFont="1" applyNumberFormat="1">
      <alignment horizontal="left" shrinkToFit="0" vertical="center" wrapText="1"/>
    </xf>
    <xf borderId="48" fillId="6" fontId="13" numFmtId="49" xfId="0" applyAlignment="1" applyBorder="1" applyFill="1" applyFont="1" applyNumberFormat="1">
      <alignment horizontal="left" vertical="center"/>
    </xf>
    <xf borderId="50" fillId="6" fontId="1" numFmtId="49" xfId="0" applyAlignment="1" applyBorder="1" applyFill="1" applyFont="1" applyNumberForma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9.0"/>
        <color rgb="FF166534"/>
        <name val="Quattrocento Sans"/>
      </font>
      <fill>
        <patternFill patternType="solid">
          <fgColor rgb="FFDCFCE7"/>
          <bgColor rgb="FFDCFCE7"/>
        </patternFill>
      </fill>
      <border/>
    </dxf>
    <dxf>
      <font>
        <b/>
        <sz val="9.0"/>
        <color rgb="FF991B1B"/>
        <name val="Quattrocento Sans"/>
      </font>
      <fill>
        <patternFill patternType="solid">
          <fgColor rgb="FFFEE2E2"/>
          <bgColor rgb="FFFEE2E2"/>
        </patternFill>
      </fill>
      <border/>
    </dxf>
    <dxf>
      <font>
        <b/>
        <sz val="9.0"/>
        <color rgb="FF854D0E"/>
        <name val="Quattrocento Sans"/>
      </font>
      <fill>
        <patternFill patternType="solid">
          <fgColor rgb="FFFEF9C3"/>
          <bgColor rgb="FFFEF9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264677"/>
          <bgColor rgb="FF264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7F9"/>
          <bgColor rgb="FFF3F7F9"/>
        </patternFill>
      </fill>
      <border/>
    </dxf>
    <dxf>
      <border>
        <left style="thin">
          <color rgb="FF264677"/>
        </left>
        <right style="thin">
          <color rgb="FF264677"/>
        </right>
        <top style="thin">
          <color rgb="FF264677"/>
        </top>
        <bottom style="thin">
          <color rgb="FF264677"/>
        </bottom>
      </border>
    </dxf>
  </dxfs>
  <tableStyles count="5">
    <tableStyle count="4" pivot="0" name="MOVIMIENTO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AHORRO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AHORROS-style 2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CONTROL FIJO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PRESUPUESTO Y ALERTAS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Evolución Financiera 2026: Ingresos vs. Gastos vs. Ahorro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Ingresos ($)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'ANÁLISIS'!$A$5:$A$16</c:f>
            </c:strRef>
          </c:cat>
          <c:val>
            <c:numRef>
              <c:f>'ANÁLISIS'!$B$5:$B$16</c:f>
              <c:numCache/>
            </c:numRef>
          </c:val>
        </c:ser>
        <c:ser>
          <c:idx val="1"/>
          <c:order val="1"/>
          <c:tx>
            <c:v>Gastos ($)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'ANÁLISIS'!$A$5:$A$16</c:f>
            </c:strRef>
          </c:cat>
          <c:val>
            <c:numRef>
              <c:f>'ANÁLISIS'!$C$5:$C$16</c:f>
              <c:numCache/>
            </c:numRef>
          </c:val>
        </c:ser>
        <c:ser>
          <c:idx val="2"/>
          <c:order val="2"/>
          <c:tx>
            <c:v>Ahorro ($)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'ANÁLISIS'!$A$5:$A$16</c:f>
            </c:strRef>
          </c:cat>
          <c:val>
            <c:numRef>
              <c:f>'ANÁLISIS'!$D$5:$D$16</c:f>
              <c:numCache/>
            </c:numRef>
          </c:val>
        </c:ser>
        <c:axId val="625245766"/>
        <c:axId val="2092293772"/>
      </c:barChart>
      <c:catAx>
        <c:axId val="625245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92293772"/>
      </c:catAx>
      <c:valAx>
        <c:axId val="2092293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Monto ($ COP)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252457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del Gasto del Período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'ANÁLISIS'!$B$20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'ANÁLISIS'!$A$21:$A$28</c:f>
            </c:strRef>
          </c:cat>
          <c:val>
            <c:numRef>
              <c:f>'ANÁLISIS'!$B$21:$B$28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6838950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18</xdr:row>
      <xdr:rowOff>0</xdr:rowOff>
    </xdr:from>
    <xdr:ext cx="5753100" cy="39528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O244" displayName="Table_1" name="Table_1" id="1">
  <tableColumns count="15">
    <tableColumn name="ID" id="1"/>
    <tableColumn name="Fecha" id="2"/>
    <tableColumn name="Hora" id="3"/>
    <tableColumn name="Tipo" id="4"/>
    <tableColumn name="Categoría" id="5"/>
    <tableColumn name="Subcategoría" id="6"/>
    <tableColumn name="Descripción" id="7"/>
    <tableColumn name="Valor ($ COP)" id="8"/>
    <tableColumn name="Método de Pago" id="9"/>
    <tableColumn name="Cuenta / Origen" id="10"/>
    <tableColumn name="Mes" id="11"/>
    <tableColumn name="Año" id="12"/>
    <tableColumn name="Comprobante / Ref" id="13"/>
    <tableColumn name="Notas" id="14"/>
    <tableColumn name="_IndexFiltro" id="15"/>
  </tableColumns>
  <tableStyleInfo name="MOVIMIENTOS-style" showColumnStripes="0" showFirstColumn="1" showLastColumn="1" showRowStripes="1"/>
</table>
</file>

<file path=xl/tables/table2.xml><?xml version="1.0" encoding="utf-8"?>
<table xmlns="http://schemas.openxmlformats.org/spreadsheetml/2006/main" ref="A7:E12" displayName="Table_2" name="Table_2" id="2">
  <tableColumns count="5">
    <tableColumn name="Línea de Ahorro / Fondo" id="1"/>
    <tableColumn name="Mes Seleccionado ($)" id="2"/>
    <tableColumn name="Acumulado Total ($)" id="3"/>
    <tableColumn name="% Participación" id="4"/>
    <tableColumn name="Propósito / Destino" id="5"/>
  </tableColumns>
  <tableStyleInfo name="AHORROS-style" showColumnStripes="0" showFirstColumn="1" showLastColumn="1" showRowStripes="1"/>
</table>
</file>

<file path=xl/tables/table3.xml><?xml version="1.0" encoding="utf-8"?>
<table xmlns="http://schemas.openxmlformats.org/spreadsheetml/2006/main" ref="A14:I73" displayName="Table_3" name="Table_3" id="3">
  <tableColumns count="9">
    <tableColumn name="ID Descuento" id="1"/>
    <tableColumn name="Fecha Nómina" id="2"/>
    <tableColumn name="Colilla Ref" id="3"/>
    <tableColumn name="Línea de Ahorro" id="4"/>
    <tableColumn name="Monto Ahorrado ($)" id="5"/>
    <tableColumn name="Mes" id="6"/>
    <tableColumn name="Año" id="7"/>
    <tableColumn name="Quincena" id="8"/>
    <tableColumn name="Notas / Auditoría" id="9"/>
  </tableColumns>
  <tableStyleInfo name="AHORROS-style 2" showColumnStripes="0" showFirstColumn="1" showLastColumn="1" showRowStripes="1"/>
</table>
</file>

<file path=xl/tables/table4.xml><?xml version="1.0" encoding="utf-8"?>
<table xmlns="http://schemas.openxmlformats.org/spreadsheetml/2006/main" ref="A9:L25" displayName="Table_4" name="Table_4" id="4">
  <tableColumns count="12">
    <tableColumn name="ID" id="1"/>
    <tableColumn name="Concepto / Servicio" id="2"/>
    <tableColumn name="Categoría" id="3"/>
    <tableColumn name="Día Cobro" id="4"/>
    <tableColumn name="Cuota Base ($)" id="5"/>
    <tableColumn name="Abonado Mes ($)" id="6"/>
    <tableColumn name="Estado" id="7"/>
    <tableColumn name="Fecha Último Pago" id="8"/>
    <tableColumn name="Saldo Pendiente ($)" id="9"/>
    <tableColumn name="Prioridad" id="10"/>
    <tableColumn name="Medio de Pago" id="11"/>
    <tableColumn name="Notas / Referencia" id="12"/>
  </tableColumns>
  <tableStyleInfo name="CONTROL FIJOS-style" showColumnStripes="0" showFirstColumn="1" showLastColumn="1" showRowStripes="1"/>
</table>
</file>

<file path=xl/tables/table5.xml><?xml version="1.0" encoding="utf-8"?>
<table xmlns="http://schemas.openxmlformats.org/spreadsheetml/2006/main" ref="A4:H13" displayName="Table_5" name="Table_5" id="5">
  <tableColumns count="8">
    <tableColumn name="Categoría Presupuestal" id="1"/>
    <tableColumn name="Límite Asignado ($)" id="2"/>
    <tableColumn name="Gasto Ejecutado ($)" id="3"/>
    <tableColumn name="Saldo Disponible ($)" id="4"/>
    <tableColumn name="% Consumo" id="5"/>
    <tableColumn name="Barra de Progreso" id="6"/>
    <tableColumn name="Estado / Alerta" id="7"/>
    <tableColumn name="Acción Recomendada" id="8"/>
  </tableColumns>
  <tableStyleInfo name="PRESUPUESTO Y ALER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43"/>
    <col customWidth="1" min="2" max="2" width="33.0"/>
    <col customWidth="1" min="3" max="4" width="20.0"/>
    <col customWidth="1" min="5" max="6" width="16.0"/>
    <col customWidth="1" min="7" max="7" width="28.0"/>
    <col customWidth="1" min="8" max="8" width="16.0"/>
    <col customWidth="1" min="9" max="9" width="27.0"/>
    <col customWidth="1" min="10" max="11" width="18.0"/>
    <col customWidth="1" min="12" max="12" width="25.0"/>
    <col customWidth="1" min="13" max="13" width="3.4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42.0" customHeight="1">
      <c r="A2" s="1"/>
      <c r="B2" s="2" t="s">
        <v>0</v>
      </c>
      <c r="C2" s="3"/>
      <c r="D2" s="3"/>
      <c r="E2" s="3"/>
      <c r="F2" s="3"/>
      <c r="G2" s="4"/>
      <c r="H2" s="5" t="s">
        <v>1</v>
      </c>
      <c r="I2" s="6">
        <v>2026.0</v>
      </c>
      <c r="J2" s="7"/>
      <c r="K2" s="5" t="s">
        <v>2</v>
      </c>
      <c r="L2" s="8" t="s">
        <v>3</v>
      </c>
      <c r="M2" s="1"/>
    </row>
    <row r="3" ht="24.0" customHeight="1">
      <c r="A3" s="1"/>
      <c r="B3" s="9" t="s">
        <v>4</v>
      </c>
      <c r="C3" s="3"/>
      <c r="D3" s="3"/>
      <c r="E3" s="3"/>
      <c r="F3" s="3"/>
      <c r="G3" s="3"/>
      <c r="H3" s="3"/>
      <c r="I3" s="3"/>
      <c r="J3" s="3"/>
      <c r="K3" s="3"/>
      <c r="L3" s="4"/>
      <c r="M3" s="10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1.75" customHeight="1">
      <c r="A5" s="1"/>
      <c r="B5" s="11" t="s">
        <v>5</v>
      </c>
      <c r="C5" s="12"/>
      <c r="D5" s="13"/>
      <c r="E5" s="14" t="s">
        <v>6</v>
      </c>
      <c r="F5" s="15"/>
      <c r="G5" s="16"/>
      <c r="H5" s="17" t="s">
        <v>7</v>
      </c>
      <c r="I5" s="18"/>
      <c r="J5" s="19"/>
      <c r="K5" s="20" t="s">
        <v>8</v>
      </c>
      <c r="L5" s="21"/>
    </row>
    <row r="6" ht="36.0" customHeight="1">
      <c r="A6" s="1"/>
      <c r="B6" s="22">
        <f>IF(N(H15)&gt;0, H15 + IFERROR(SUMIFS(MOVIMIENTOS!$H$4:$H$246, MOVIMIENTOS!$D$4:$D$246, "Ingreso", MOVIMIENTOS!$E$4:$E$246, "&lt;&gt;Salario", MOVIMIENTOS!$K$4:$K$246, $L$2, MOVIMIENTOS!$L$4:$L$246, $I$2), 0), IFERROR(SUMIFS(MOVIMIENTOS!$H$4:$H$246, MOVIMIENTOS!$D$4:$D$246, "Ingreso", MOVIMIENTOS!$K$4:$K$246, $L$2, MOVIMIENTOS!$L$4:$L$246, $I$2), 0))</f>
        <v>0</v>
      </c>
      <c r="C6" s="23"/>
      <c r="D6" s="24"/>
      <c r="E6" s="25">
        <f>IFERROR(SUMIFS(MOVIMIENTOS!$H$4:$H$246, MOVIMIENTOS!$D$4:$D$246, "Gasto", MOVIMIENTOS!$K$4:$K$246, $L$2, MOVIMIENTOS!$L$4:$L$246, $I$2), 0)</f>
        <v>207123</v>
      </c>
      <c r="F6" s="23"/>
      <c r="G6" s="24"/>
      <c r="H6" s="26">
        <f>C16</f>
        <v>0</v>
      </c>
      <c r="I6" s="23"/>
      <c r="J6" s="24"/>
      <c r="K6" s="27">
        <f>B6 - E6</f>
        <v>-207123</v>
      </c>
      <c r="L6" s="24"/>
    </row>
    <row r="7" ht="9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ht="27.75" customHeight="1">
      <c r="A8" s="1"/>
      <c r="B8" s="28" t="str">
        <f>"⚡ ESTADO FINANCIERO: " &amp; IF(AND(B6=0, E6=0), "⚪ SIN MOVIMIENTOS EN EL MES", IF(K6&lt;=0, "🚨 GASTO SUPERA INGRESOS", IF(K6&lt;300000, "⚠️ CAJA AJUSTADA", "🟢 SALUDABLE Y EN SUPERÁVIT"))) &amp; " | LIQUIDEZ INMEDIATA EN CUENTAS: " &amp; TEXT(J42, "$ #,##0") &amp; " | QUINCENAS SINCRONIZADAS"</f>
        <v>⚡ ESTADO FINANCIERO: 🚨 GASTO SUPERA INGRESOS | LIQUIDEZ INMEDIATA EN CUENTAS: $ 3,390,857 | QUINCENAS SINCRONIZADAS</v>
      </c>
      <c r="C8" s="29"/>
      <c r="D8" s="29"/>
      <c r="E8" s="29"/>
      <c r="F8" s="29"/>
      <c r="G8" s="29"/>
      <c r="H8" s="29"/>
      <c r="I8" s="29"/>
      <c r="J8" s="29"/>
      <c r="K8" s="29"/>
      <c r="L8" s="30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30.0" customHeight="1">
      <c r="A10" s="1"/>
      <c r="B10" s="31" t="s">
        <v>9</v>
      </c>
      <c r="C10" s="32"/>
      <c r="D10" s="32"/>
      <c r="E10" s="33"/>
      <c r="F10" s="1"/>
      <c r="G10" s="31" t="s">
        <v>10</v>
      </c>
      <c r="H10" s="32"/>
      <c r="I10" s="32"/>
      <c r="J10" s="32"/>
      <c r="K10" s="32"/>
      <c r="L10" s="33"/>
      <c r="M10" s="1"/>
    </row>
    <row r="11" ht="27.75" customHeight="1">
      <c r="A11" s="1"/>
      <c r="B11" s="34" t="s">
        <v>11</v>
      </c>
      <c r="C11" s="35" t="s">
        <v>12</v>
      </c>
      <c r="D11" s="35" t="s">
        <v>13</v>
      </c>
      <c r="E11" s="36" t="s">
        <v>14</v>
      </c>
      <c r="F11" s="1"/>
      <c r="G11" s="34" t="s">
        <v>15</v>
      </c>
      <c r="H11" s="35" t="s">
        <v>16</v>
      </c>
      <c r="I11" s="35" t="s">
        <v>17</v>
      </c>
      <c r="J11" s="37" t="s">
        <v>18</v>
      </c>
      <c r="K11" s="38"/>
      <c r="L11" s="39"/>
      <c r="M11" s="1"/>
    </row>
    <row r="12" ht="22.5" customHeight="1">
      <c r="A12" s="1"/>
      <c r="B12" s="40" t="s">
        <v>19</v>
      </c>
      <c r="C12" s="41">
        <f>AHORROS!B8</f>
        <v>0</v>
      </c>
      <c r="D12" s="41">
        <f>AHORROS!C8</f>
        <v>594000</v>
      </c>
      <c r="E12" s="42">
        <f>AHORROS!D8</f>
        <v>0.151095096</v>
      </c>
      <c r="F12" s="1"/>
      <c r="G12" s="40" t="s">
        <v>20</v>
      </c>
      <c r="H12" s="43">
        <f>IFERROR(SUMIFS('COLILLAS DE PAGO'!$J$4:$J$22, 'COLILLAS DE PAGO'!$B$4:$B$22, $L$2, 'COLILLAS DE PAGO'!$C$4:$C$22, $I$2), 0)</f>
        <v>0</v>
      </c>
      <c r="I12" s="44" t="s">
        <v>21</v>
      </c>
      <c r="J12" s="45" t="s">
        <v>22</v>
      </c>
      <c r="K12" s="46"/>
      <c r="L12" s="47"/>
      <c r="M12" s="1"/>
    </row>
    <row r="13" ht="22.5" customHeight="1">
      <c r="A13" s="1"/>
      <c r="B13" s="48" t="s">
        <v>23</v>
      </c>
      <c r="C13" s="49">
        <f>AHORROS!B9</f>
        <v>0</v>
      </c>
      <c r="D13" s="49">
        <f>AHORROS!C9</f>
        <v>2160000</v>
      </c>
      <c r="E13" s="50">
        <f>AHORROS!D9</f>
        <v>0.5494367129</v>
      </c>
      <c r="F13" s="1"/>
      <c r="G13" s="51" t="s">
        <v>24</v>
      </c>
      <c r="H13" s="52">
        <f>IFERROR(SUMIFS('COLILLAS DE PAGO'!$K$4:$K$22, 'COLILLAS DE PAGO'!$B$4:$B$22, $L$2, 'COLILLAS DE PAGO'!$C$4:$C$22, $I$2) + SUMIFS('COLILLAS DE PAGO'!$L$4:$L$22, 'COLILLAS DE PAGO'!$B$4:$B$22, $L$2, 'COLILLAS DE PAGO'!$C$4:$C$22, $I$2), 0)</f>
        <v>0</v>
      </c>
      <c r="I13" s="53" t="s">
        <v>25</v>
      </c>
      <c r="J13" s="54" t="s">
        <v>26</v>
      </c>
      <c r="K13" s="46"/>
      <c r="L13" s="47"/>
      <c r="M13" s="1"/>
    </row>
    <row r="14" ht="22.5" customHeight="1">
      <c r="A14" s="1"/>
      <c r="B14" s="40" t="s">
        <v>27</v>
      </c>
      <c r="C14" s="41">
        <f>AHORROS!B10</f>
        <v>0</v>
      </c>
      <c r="D14" s="41">
        <f>AHORROS!C10</f>
        <v>995083</v>
      </c>
      <c r="E14" s="42">
        <f>AHORROS!D10</f>
        <v>0.2531181169</v>
      </c>
      <c r="F14" s="1"/>
      <c r="G14" s="55" t="s">
        <v>28</v>
      </c>
      <c r="H14" s="43">
        <f>C16</f>
        <v>0</v>
      </c>
      <c r="I14" s="44" t="s">
        <v>29</v>
      </c>
      <c r="J14" s="45" t="s">
        <v>30</v>
      </c>
      <c r="K14" s="46"/>
      <c r="L14" s="47"/>
      <c r="M14" s="1"/>
    </row>
    <row r="15" ht="22.5" customHeight="1">
      <c r="A15" s="1"/>
      <c r="B15" s="48" t="s">
        <v>31</v>
      </c>
      <c r="C15" s="49">
        <f>AHORROS!B11</f>
        <v>0</v>
      </c>
      <c r="D15" s="49">
        <f>AHORROS!C11</f>
        <v>182216</v>
      </c>
      <c r="E15" s="50">
        <f>AHORROS!D11</f>
        <v>0.04635007411</v>
      </c>
      <c r="F15" s="1"/>
      <c r="G15" s="48" t="s">
        <v>32</v>
      </c>
      <c r="H15" s="52">
        <f>IFERROR(SUMIFS('COLILLAS DE PAGO'!$O$4:$O$22, 'COLILLAS DE PAGO'!$B$4:$B$22, $L$2, 'COLILLAS DE PAGO'!$C$4:$C$22, $I$2), 0)</f>
        <v>0</v>
      </c>
      <c r="I15" s="53" t="s">
        <v>33</v>
      </c>
      <c r="J15" s="54" t="s">
        <v>34</v>
      </c>
      <c r="K15" s="46"/>
      <c r="L15" s="47"/>
      <c r="M15" s="1"/>
    </row>
    <row r="16" ht="25.5" customHeight="1">
      <c r="A16" s="1"/>
      <c r="B16" s="56" t="s">
        <v>35</v>
      </c>
      <c r="C16" s="57">
        <f>AHORROS!B12</f>
        <v>0</v>
      </c>
      <c r="D16" s="57">
        <f>AHORROS!C12</f>
        <v>3931299</v>
      </c>
      <c r="E16" s="58">
        <f>AHORROS!D12</f>
        <v>1</v>
      </c>
      <c r="F16" s="1"/>
      <c r="G16" s="56" t="s">
        <v>36</v>
      </c>
      <c r="H16" s="57">
        <f>IFERROR('CONTROL FIJOS'!G5, 0)</f>
        <v>2557000</v>
      </c>
      <c r="I16" s="59" t="s">
        <v>37</v>
      </c>
      <c r="J16" s="60" t="s">
        <v>38</v>
      </c>
      <c r="K16" s="61"/>
      <c r="L16" s="62"/>
      <c r="M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ht="30.0" customHeight="1">
      <c r="A18" s="1"/>
      <c r="B18" s="31" t="s">
        <v>39</v>
      </c>
      <c r="C18" s="32"/>
      <c r="D18" s="32"/>
      <c r="E18" s="32"/>
      <c r="F18" s="32"/>
      <c r="G18" s="33"/>
      <c r="H18" s="1"/>
      <c r="I18" s="63" t="s">
        <v>40</v>
      </c>
      <c r="J18" s="32"/>
      <c r="K18" s="32"/>
      <c r="L18" s="33"/>
      <c r="M18" s="1"/>
    </row>
    <row r="19" ht="27.75" customHeight="1">
      <c r="A19" s="1"/>
      <c r="B19" s="34" t="s">
        <v>41</v>
      </c>
      <c r="C19" s="35" t="s">
        <v>42</v>
      </c>
      <c r="D19" s="35" t="s">
        <v>43</v>
      </c>
      <c r="E19" s="35" t="s">
        <v>44</v>
      </c>
      <c r="F19" s="35" t="s">
        <v>45</v>
      </c>
      <c r="G19" s="36" t="s">
        <v>46</v>
      </c>
      <c r="H19" s="1"/>
      <c r="I19" s="64" t="s">
        <v>47</v>
      </c>
      <c r="J19" s="65"/>
      <c r="K19" s="66">
        <f>'CONTROL FIJOS'!A5</f>
        <v>2611000</v>
      </c>
      <c r="L19" s="47"/>
      <c r="M19" s="1"/>
    </row>
    <row r="20" ht="22.5" customHeight="1">
      <c r="A20" s="1"/>
      <c r="B20" s="40" t="s">
        <v>48</v>
      </c>
      <c r="C20" s="41">
        <f>SUMIFS(MOVIMIENTOS!$H$4:$H$246, MOVIMIENTOS!$D$4:$D$246, "Gasto", MOVIMIENTOS!$E$4:$E$246, "Alimentaci*", MOVIMIENTOS!$K$4:$K$246, $L$2, MOVIMIENTOS!$L$4:$L$246, $I$2)</f>
        <v>0</v>
      </c>
      <c r="D20" s="41">
        <v>800000.0</v>
      </c>
      <c r="E20" s="67">
        <f t="shared" ref="E20:E28" si="1">IF(D20=0, 0, C20/D20)</f>
        <v>0</v>
      </c>
      <c r="F20" s="68" t="str">
        <f t="shared" ref="F20:F28" si="2">IF(D20=0, "⚪ Sin límite", IF(E20&lt;=0.8, "🟢 En regla", IF(E20&lt;=1, "🟡 Límite", "🔴 Excedido")))</f>
        <v>🟢 En regla</v>
      </c>
      <c r="G20" s="69">
        <f t="shared" ref="G20:G28" si="3">IF(D20=0, 0, D20-C20)</f>
        <v>800000</v>
      </c>
      <c r="H20" s="1"/>
      <c r="I20" s="70" t="s">
        <v>49</v>
      </c>
      <c r="J20" s="65"/>
      <c r="K20" s="71">
        <f>'CONTROL FIJOS'!D5</f>
        <v>54000</v>
      </c>
      <c r="L20" s="47"/>
      <c r="M20" s="1"/>
    </row>
    <row r="21" ht="22.5" customHeight="1">
      <c r="A21" s="1"/>
      <c r="B21" s="48" t="s">
        <v>50</v>
      </c>
      <c r="C21" s="49">
        <f>SUMIFS(MOVIMIENTOS!$H$4:$H$246, MOVIMIENTOS!$D$4:$D$246, "Gasto", MOVIMIENTOS!$E$4:$E$246, "Vivienda", MOVIMIENTOS!$K$4:$K$246, $L$2, MOVIMIENTOS!$L$4:$L$246, $I$2)+SUMIFS(MOVIMIENTOS!$H$4:$H$246, MOVIMIENTOS!$D$4:$D$246, "Gasto", MOVIMIENTOS!$E$4:$E$246, "Arriendo Casa", MOVIMIENTOS!$K$4:$K$246, $L$2, MOVIMIENTOS!$L$4:$L$246, $I$2)</f>
        <v>0</v>
      </c>
      <c r="D21" s="49">
        <v>900000.0</v>
      </c>
      <c r="E21" s="72">
        <f t="shared" si="1"/>
        <v>0</v>
      </c>
      <c r="F21" s="73" t="str">
        <f t="shared" si="2"/>
        <v>🟢 En regla</v>
      </c>
      <c r="G21" s="74">
        <f t="shared" si="3"/>
        <v>900000</v>
      </c>
      <c r="H21" s="1"/>
      <c r="I21" s="64" t="s">
        <v>51</v>
      </c>
      <c r="J21" s="65"/>
      <c r="K21" s="66">
        <f>'CONTROL FIJOS'!G5</f>
        <v>2557000</v>
      </c>
      <c r="L21" s="47"/>
      <c r="M21" s="1"/>
    </row>
    <row r="22" ht="22.5" customHeight="1">
      <c r="A22" s="1"/>
      <c r="B22" s="40" t="s">
        <v>52</v>
      </c>
      <c r="C22" s="41">
        <f>SUMIFS(MOVIMIENTOS!$H$4:$H$246, MOVIMIENTOS!$D$4:$D$246, "Gasto", MOVIMIENTOS!$E$4:$E$246, "Servicios*", MOVIMIENTOS!$K$4:$K$246, $L$2, MOVIMIENTOS!$L$4:$L$246, $I$2)</f>
        <v>0</v>
      </c>
      <c r="D22" s="41">
        <v>300000.0</v>
      </c>
      <c r="E22" s="67">
        <f t="shared" si="1"/>
        <v>0</v>
      </c>
      <c r="F22" s="68" t="str">
        <f t="shared" si="2"/>
        <v>🟢 En regla</v>
      </c>
      <c r="G22" s="69">
        <f t="shared" si="3"/>
        <v>300000</v>
      </c>
      <c r="H22" s="1"/>
      <c r="I22" s="70" t="s">
        <v>53</v>
      </c>
      <c r="J22" s="65"/>
      <c r="K22" s="75">
        <f>COUNTIF('CONTROL FIJOS'!$G$9:$G$26, "🟢 Pagado")</f>
        <v>2</v>
      </c>
      <c r="L22" s="47"/>
      <c r="M22" s="1"/>
    </row>
    <row r="23" ht="22.5" customHeight="1">
      <c r="A23" s="1"/>
      <c r="B23" s="48" t="s">
        <v>54</v>
      </c>
      <c r="C23" s="49">
        <f>SUMIFS(MOVIMIENTOS!$H$4:$H$246, MOVIMIENTOS!$D$4:$D$246, "Gasto", MOVIMIENTOS!$E$4:$E$246, "Transporte*", MOVIMIENTOS!$K$4:$K$246, $L$2, MOVIMIENTOS!$L$4:$L$246, $I$2)+SUMIFS(MOVIMIENTOS!$H$4:$H$246, MOVIMIENTOS!$D$4:$D$246, "Gasto", MOVIMIENTOS!$E$4:$E$246, "Moto", MOVIMIENTOS!$K$4:$K$246, $L$2, MOVIMIENTOS!$L$4:$L$246, $I$2)</f>
        <v>116000</v>
      </c>
      <c r="D23" s="49">
        <v>240000.0</v>
      </c>
      <c r="E23" s="72">
        <f t="shared" si="1"/>
        <v>0.4833333333</v>
      </c>
      <c r="F23" s="73" t="str">
        <f t="shared" si="2"/>
        <v>🟢 En regla</v>
      </c>
      <c r="G23" s="74">
        <f t="shared" si="3"/>
        <v>124000</v>
      </c>
      <c r="H23" s="1"/>
      <c r="I23" s="64" t="s">
        <v>55</v>
      </c>
      <c r="J23" s="65"/>
      <c r="K23" s="76">
        <f>COUNTIF('CONTROL FIJOS'!$G$9:$G$26, "🟡 Abono Parcial")</f>
        <v>0</v>
      </c>
      <c r="L23" s="47"/>
      <c r="M23" s="1"/>
    </row>
    <row r="24" ht="22.5" customHeight="1">
      <c r="A24" s="1"/>
      <c r="B24" s="40" t="s">
        <v>56</v>
      </c>
      <c r="C24" s="41">
        <f>SUMIFS(MOVIMIENTOS!$H$4:$H$246, MOVIMIENTOS!$D$4:$D$246, "Gasto", MOVIMIENTOS!$E$4:$E$246, "*Hormiga*", MOVIMIENTOS!$K$4:$K$246, $L$2, MOVIMIENTOS!$L$4:$L$246, $I$2)+SUMIFS(MOVIMIENTOS!$H$4:$H$246, MOVIMIENTOS!$D$4:$D$246, "Gasto", MOVIMIENTOS!$E$4:$E$246, "Helado", MOVIMIENTOS!$K$4:$K$246, $L$2, MOVIMIENTOS!$L$4:$L$246, $I$2)+SUMIFS(MOVIMIENTOS!$H$4:$H$246, MOVIMIENTOS!$D$4:$D$246, "Gasto", MOVIMIENTOS!$E$4:$E$246, "Pastillas Garganta", MOVIMIENTOS!$K$4:$K$246, $L$2, MOVIMIENTOS!$L$4:$L$246, $I$2)</f>
        <v>67000</v>
      </c>
      <c r="D24" s="41">
        <v>50000.0</v>
      </c>
      <c r="E24" s="67">
        <f t="shared" si="1"/>
        <v>1.34</v>
      </c>
      <c r="F24" s="68" t="str">
        <f t="shared" si="2"/>
        <v>🔴 Excedido</v>
      </c>
      <c r="G24" s="69">
        <f t="shared" si="3"/>
        <v>-17000</v>
      </c>
      <c r="H24" s="1"/>
      <c r="I24" s="70" t="s">
        <v>57</v>
      </c>
      <c r="J24" s="65"/>
      <c r="K24" s="75">
        <f>COUNTIF('CONTROL FIJOS'!$G$9:$G$26, "🔴 Pendiente")</f>
        <v>13</v>
      </c>
      <c r="L24" s="47"/>
      <c r="M24" s="1"/>
    </row>
    <row r="25" ht="22.5" customHeight="1">
      <c r="A25" s="1"/>
      <c r="B25" s="48" t="s">
        <v>58</v>
      </c>
      <c r="C25" s="49">
        <f>SUMIFS(MOVIMIENTOS!$H$4:$H$246, MOVIMIENTOS!$D$4:$D$246, "Gasto", MOVIMIENTOS!$E$4:$E$246, "*Entretenimiento*", MOVIMIENTOS!$F$4:$F$246, "&lt;&gt;Pago fijo", MOVIMIENTOS!$K$4:$K$246, $L$2, MOVIMIENTOS!$L$4:$L$246, $I$2)+SUMIFS(MOVIMIENTOS!$H$4:$H$246, MOVIMIENTOS!$D$4:$D$246, "Gasto", MOVIMIENTOS!$E$4:$E$246, "Ocio*", MOVIMIENTOS!$K$4:$K$246, $L$2, MOVIMIENTOS!$L$4:$L$246, $I$2)</f>
        <v>14023</v>
      </c>
      <c r="D25" s="49">
        <v>100000.0</v>
      </c>
      <c r="E25" s="72">
        <f t="shared" si="1"/>
        <v>0.14023</v>
      </c>
      <c r="F25" s="73" t="str">
        <f t="shared" si="2"/>
        <v>🟢 En regla</v>
      </c>
      <c r="G25" s="74">
        <f t="shared" si="3"/>
        <v>85977</v>
      </c>
      <c r="H25" s="1"/>
      <c r="I25" s="64" t="s">
        <v>59</v>
      </c>
      <c r="J25" s="65"/>
      <c r="K25" s="66">
        <f>SUMIFS('CONTROL FIJOS'!$I$9:$I$26, 'CONTROL FIJOS'!$D$9:$D$26, "&lt;=15")</f>
        <v>1332000</v>
      </c>
      <c r="L25" s="47"/>
      <c r="M25" s="1"/>
    </row>
    <row r="26" ht="22.5" customHeight="1">
      <c r="A26" s="1"/>
      <c r="B26" s="40" t="s">
        <v>60</v>
      </c>
      <c r="C26" s="41">
        <f>SUMIFS(MOVIMIENTOS!$H$4:$H$246, MOVIMIENTOS!$D$4:$D$246, "Gasto", MOVIMIENTOS!$E$4:$E$246, "Suscripciones*", MOVIMIENTOS!$K$4:$K$246, $L$2, MOVIMIENTOS!$L$4:$L$246, $I$2)+SUMIFS(MOVIMIENTOS!$H$4:$H$246, MOVIMIENTOS!$D$4:$D$246, "Gasto", MOVIMIENTOS!$E$4:$E$246, "*Entretenimiento*", MOVIMIENTOS!$F$4:$F$246, "Pago fijo", MOVIMIENTOS!$K$4:$K$246, $L$2, MOVIMIENTOS!$L$4:$L$246, $I$2)</f>
        <v>10100</v>
      </c>
      <c r="D26" s="41">
        <v>0.0</v>
      </c>
      <c r="E26" s="67">
        <f t="shared" si="1"/>
        <v>0</v>
      </c>
      <c r="F26" s="68" t="str">
        <f t="shared" si="2"/>
        <v>⚪ Sin límite</v>
      </c>
      <c r="G26" s="69">
        <f t="shared" si="3"/>
        <v>0</v>
      </c>
      <c r="H26" s="1"/>
      <c r="I26" s="70" t="s">
        <v>61</v>
      </c>
      <c r="J26" s="65"/>
      <c r="K26" s="71">
        <f>SUMIFS('CONTROL FIJOS'!$I$9:$I$26, 'CONTROL FIJOS'!$D$9:$D$26, "&gt;15")</f>
        <v>1225000</v>
      </c>
      <c r="L26" s="47"/>
      <c r="M26" s="1"/>
    </row>
    <row r="27" ht="22.5" customHeight="1">
      <c r="A27" s="1"/>
      <c r="B27" s="48" t="s">
        <v>62</v>
      </c>
      <c r="C27" s="49">
        <f>SUMIFS(MOVIMIENTOS!$H$4:$H$246, MOVIMIENTOS!$D$4:$D$246, "Gasto", MOVIMIENTOS!$E$4:$E$246, "Compras*", MOVIMIENTOS!$K$4:$K$246, $L$2, MOVIMIENTOS!$L$4:$L$246, $I$2)</f>
        <v>0</v>
      </c>
      <c r="D27" s="49">
        <v>0.0</v>
      </c>
      <c r="E27" s="72">
        <f t="shared" si="1"/>
        <v>0</v>
      </c>
      <c r="F27" s="73" t="str">
        <f t="shared" si="2"/>
        <v>⚪ Sin límite</v>
      </c>
      <c r="G27" s="74">
        <f t="shared" si="3"/>
        <v>0</v>
      </c>
      <c r="H27" s="1"/>
      <c r="I27" s="77" t="s">
        <v>63</v>
      </c>
      <c r="J27" s="78"/>
      <c r="K27" s="79" t="str">
        <f>IF('CONTROL FIJOS'!A5=0, "⚪ Sin Obligaciones", IF('CONTROL FIJOS'!G5=0, "🟢 100% Cubierto", "🟡 Pendiente de Pago"))</f>
        <v>🟡 Pendiente de Pago</v>
      </c>
      <c r="L27" s="62"/>
      <c r="M27" s="1"/>
    </row>
    <row r="28" ht="22.5" customHeight="1">
      <c r="A28" s="1"/>
      <c r="B28" s="80" t="s">
        <v>64</v>
      </c>
      <c r="C28" s="81">
        <f>MAX(0, E6-SUM(C20:C27))</f>
        <v>0</v>
      </c>
      <c r="D28" s="81">
        <v>0.0</v>
      </c>
      <c r="E28" s="82">
        <f t="shared" si="1"/>
        <v>0</v>
      </c>
      <c r="F28" s="83" t="str">
        <f t="shared" si="2"/>
        <v>⚪ Sin límite</v>
      </c>
      <c r="G28" s="84">
        <f t="shared" si="3"/>
        <v>0</v>
      </c>
      <c r="H28" s="1"/>
      <c r="I28" s="1"/>
      <c r="J28" s="1"/>
      <c r="K28" s="1"/>
      <c r="L28" s="1"/>
      <c r="M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30.0" customHeight="1">
      <c r="A30" s="1"/>
      <c r="B30" s="31" t="s">
        <v>65</v>
      </c>
      <c r="C30" s="32"/>
      <c r="D30" s="32"/>
      <c r="E30" s="32"/>
      <c r="F30" s="32"/>
      <c r="G30" s="33"/>
      <c r="H30" s="1"/>
      <c r="I30" s="31" t="s">
        <v>66</v>
      </c>
      <c r="J30" s="32"/>
      <c r="K30" s="32"/>
      <c r="L30" s="33"/>
      <c r="M30" s="1"/>
    </row>
    <row r="31" ht="27.75" customHeight="1">
      <c r="A31" s="1"/>
      <c r="B31" s="34" t="s">
        <v>67</v>
      </c>
      <c r="C31" s="35" t="s">
        <v>68</v>
      </c>
      <c r="D31" s="35" t="s">
        <v>69</v>
      </c>
      <c r="E31" s="35" t="s">
        <v>70</v>
      </c>
      <c r="F31" s="35" t="s">
        <v>71</v>
      </c>
      <c r="G31" s="36" t="s">
        <v>45</v>
      </c>
      <c r="H31" s="1"/>
      <c r="I31" s="34" t="s">
        <v>72</v>
      </c>
      <c r="J31" s="35" t="s">
        <v>73</v>
      </c>
      <c r="K31" s="35" t="s">
        <v>45</v>
      </c>
      <c r="L31" s="36" t="s">
        <v>74</v>
      </c>
      <c r="M31" s="1"/>
    </row>
    <row r="32" ht="22.5" customHeight="1">
      <c r="A32" s="1"/>
      <c r="B32" s="40" t="s">
        <v>75</v>
      </c>
      <c r="C32" s="41">
        <f>H15/2</f>
        <v>0</v>
      </c>
      <c r="D32" s="41">
        <f>'CONTROL FIJOS'!J5</f>
        <v>1332000</v>
      </c>
      <c r="E32" s="41">
        <f>IFERROR(SUMIFS(MOVIMIENTOS!$H$4:$H$246, MOVIMIENTOS!$D$4:$D$246, "Gasto", MOVIMIENTOS!$K$4:$K$246, $L$2, MOVIMIENTOS!$L$4:$L$246, $I$2, MOVIMIENTOS!$P$4:$P$246, "Q1"), 0)</f>
        <v>207123</v>
      </c>
      <c r="F32" s="41">
        <f t="shared" ref="F32:F34" si="4">C32-D32-E32</f>
        <v>-1539123</v>
      </c>
      <c r="G32" s="85" t="str">
        <f>IF(F32&gt;0, "🟢 Superávit", "🔴 Ajustado")</f>
        <v>🔴 Ajustado</v>
      </c>
      <c r="H32" s="1"/>
      <c r="I32" s="40" t="s">
        <v>76</v>
      </c>
      <c r="J32" s="43">
        <f>PANEL!C24</f>
        <v>67000</v>
      </c>
      <c r="K32" s="68" t="str">
        <f>IF(J32&gt;120000, "🔴 Crítico", IF(J32&gt;50000, "🟡 Moderado", "🟢 Bajo"))</f>
        <v>🟡 Moderado</v>
      </c>
      <c r="L32" s="86" t="s">
        <v>77</v>
      </c>
      <c r="M32" s="1"/>
    </row>
    <row r="33" ht="22.5" customHeight="1">
      <c r="A33" s="1"/>
      <c r="B33" s="48" t="s">
        <v>78</v>
      </c>
      <c r="C33" s="49">
        <f>H15/2</f>
        <v>0</v>
      </c>
      <c r="D33" s="49">
        <f>'CONTROL FIJOS'!A5 - 'CONTROL FIJOS'!J5</f>
        <v>1279000</v>
      </c>
      <c r="E33" s="49">
        <f>MAX(0, E6-E32)</f>
        <v>0</v>
      </c>
      <c r="F33" s="49">
        <f t="shared" si="4"/>
        <v>-1279000</v>
      </c>
      <c r="G33" s="87" t="str">
        <f>IF(F33&gt;0, "🟢 Excedente", "🔴 Ajustado")</f>
        <v>🔴 Ajustado</v>
      </c>
      <c r="H33" s="1"/>
      <c r="I33" s="48" t="s">
        <v>79</v>
      </c>
      <c r="J33" s="88">
        <f>IFERROR(COUNTIFS(MOVIMIENTOS!$D$4:$D$246, "Gasto", MOVIMIENTOS!$E$4:$E$246, "*Hormiga*", MOVIMIENTOS!$K$4:$K$246, $L$2, MOVIMIENTOS!$L$4:$L$246, $I$2)+COUNTIFS(MOVIMIENTOS!$D$4:$D$246, "Gasto", MOVIMIENTOS!$E$4:$E$246, "Helado", MOVIMIENTOS!$K$4:$K$246, $L$2, MOVIMIENTOS!$L$4:$L$246, $I$2)+COUNTIFS(MOVIMIENTOS!$D$4:$D$246, "Gasto", MOVIMIENTOS!$E$4:$E$246, "Pastillas Garganta", MOVIMIENTOS!$K$4:$K$246, $L$2, MOVIMIENTOS!$L$4:$L$246, $I$2), 0)</f>
        <v>2</v>
      </c>
      <c r="K33" s="73" t="str">
        <f>IF(J33&gt;15, "🔴 Frecuente", IF(J33&gt;7, "🟡 Regular", "🟢 Ocasional"))</f>
        <v>🟢 Ocasional</v>
      </c>
      <c r="L33" s="89" t="s">
        <v>80</v>
      </c>
      <c r="M33" s="1"/>
    </row>
    <row r="34" ht="25.5" customHeight="1">
      <c r="A34" s="1"/>
      <c r="B34" s="56" t="s">
        <v>81</v>
      </c>
      <c r="C34" s="57">
        <f t="shared" ref="C34:E34" si="5">C32+C33</f>
        <v>0</v>
      </c>
      <c r="D34" s="57">
        <f t="shared" si="5"/>
        <v>2611000</v>
      </c>
      <c r="E34" s="57">
        <f t="shared" si="5"/>
        <v>207123</v>
      </c>
      <c r="F34" s="57">
        <f t="shared" si="4"/>
        <v>-2818123</v>
      </c>
      <c r="G34" s="90" t="str">
        <f>IF(F34&gt;0, "✅ Sostenible", "🚨 Alerta")</f>
        <v>🚨 Alerta</v>
      </c>
      <c r="H34" s="1"/>
      <c r="I34" s="40" t="s">
        <v>82</v>
      </c>
      <c r="J34" s="43">
        <f>IF(J33=0, 0, J32/J33)</f>
        <v>33500</v>
      </c>
      <c r="K34" s="68" t="s">
        <v>83</v>
      </c>
      <c r="L34" s="86" t="s">
        <v>84</v>
      </c>
      <c r="M34" s="1"/>
    </row>
    <row r="35" ht="22.5" customHeight="1">
      <c r="A35" s="1"/>
      <c r="B35" s="91"/>
      <c r="C35" s="91"/>
      <c r="D35" s="91"/>
      <c r="E35" s="91"/>
      <c r="F35" s="91"/>
      <c r="G35" s="91"/>
      <c r="H35" s="1"/>
      <c r="I35" s="92" t="s">
        <v>85</v>
      </c>
      <c r="J35" s="93">
        <f>IF(C16=0, 0, J32/C16)</f>
        <v>0</v>
      </c>
      <c r="K35" s="94" t="str">
        <f>IF(J35&gt;0.5, "⚠️ Muy Alto", "🟢 Razonable")</f>
        <v>🟢 Razonable</v>
      </c>
      <c r="L35" s="95" t="s">
        <v>86</v>
      </c>
      <c r="M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30.0" customHeight="1">
      <c r="A37" s="1"/>
      <c r="B37" s="31" t="s">
        <v>87</v>
      </c>
      <c r="C37" s="32"/>
      <c r="D37" s="32"/>
      <c r="E37" s="32"/>
      <c r="F37" s="32"/>
      <c r="G37" s="33"/>
      <c r="H37" s="1"/>
      <c r="I37" s="31" t="s">
        <v>88</v>
      </c>
      <c r="J37" s="32"/>
      <c r="K37" s="32"/>
      <c r="L37" s="33"/>
      <c r="M37" s="1"/>
    </row>
    <row r="38" ht="27.75" customHeight="1">
      <c r="A38" s="1"/>
      <c r="B38" s="34" t="s">
        <v>89</v>
      </c>
      <c r="C38" s="35" t="s">
        <v>90</v>
      </c>
      <c r="D38" s="96" t="s">
        <v>91</v>
      </c>
      <c r="E38" s="97"/>
      <c r="F38" s="37" t="s">
        <v>92</v>
      </c>
      <c r="G38" s="39"/>
      <c r="H38" s="1"/>
      <c r="I38" s="34" t="s">
        <v>93</v>
      </c>
      <c r="J38" s="98" t="s">
        <v>94</v>
      </c>
      <c r="K38" s="35" t="s">
        <v>95</v>
      </c>
      <c r="L38" s="36" t="s">
        <v>96</v>
      </c>
      <c r="M38" s="1"/>
    </row>
    <row r="39" ht="22.5" customHeight="1">
      <c r="A39" s="1"/>
      <c r="B39" s="40" t="s">
        <v>97</v>
      </c>
      <c r="C39" s="68" t="s">
        <v>98</v>
      </c>
      <c r="D39" s="66">
        <f>AHORROS!C9</f>
        <v>2160000</v>
      </c>
      <c r="E39" s="65"/>
      <c r="F39" s="45" t="s">
        <v>99</v>
      </c>
      <c r="G39" s="47"/>
      <c r="H39" s="1"/>
      <c r="I39" s="40" t="s">
        <v>100</v>
      </c>
      <c r="J39" s="43">
        <v>3319057.0</v>
      </c>
      <c r="K39" s="99" t="s">
        <v>101</v>
      </c>
      <c r="L39" s="100" t="s">
        <v>102</v>
      </c>
      <c r="M39" s="1"/>
    </row>
    <row r="40" ht="22.5" customHeight="1">
      <c r="A40" s="1"/>
      <c r="B40" s="48" t="s">
        <v>103</v>
      </c>
      <c r="C40" s="73" t="s">
        <v>104</v>
      </c>
      <c r="D40" s="71">
        <f>'COLILLAS DE PAGO'!I26</f>
        <v>2418909.056</v>
      </c>
      <c r="E40" s="65"/>
      <c r="F40" s="54" t="s">
        <v>105</v>
      </c>
      <c r="G40" s="47"/>
      <c r="H40" s="1"/>
      <c r="I40" s="48" t="s">
        <v>106</v>
      </c>
      <c r="J40" s="52">
        <v>0.0</v>
      </c>
      <c r="K40" s="99" t="s">
        <v>101</v>
      </c>
      <c r="L40" s="101" t="s">
        <v>107</v>
      </c>
      <c r="M40" s="1"/>
    </row>
    <row r="41" ht="22.5" customHeight="1">
      <c r="A41" s="1"/>
      <c r="B41" s="40" t="s">
        <v>108</v>
      </c>
      <c r="C41" s="68" t="s">
        <v>109</v>
      </c>
      <c r="D41" s="66">
        <f>AHORROS!C12</f>
        <v>3931299</v>
      </c>
      <c r="E41" s="65"/>
      <c r="F41" s="45" t="s">
        <v>110</v>
      </c>
      <c r="G41" s="47"/>
      <c r="H41" s="1"/>
      <c r="I41" s="40" t="s">
        <v>111</v>
      </c>
      <c r="J41" s="43">
        <v>71800.0</v>
      </c>
      <c r="K41" s="99" t="s">
        <v>112</v>
      </c>
      <c r="L41" s="100" t="s">
        <v>113</v>
      </c>
      <c r="M41" s="1"/>
    </row>
    <row r="42" ht="25.5" customHeight="1">
      <c r="A42" s="1"/>
      <c r="B42" s="56" t="s">
        <v>114</v>
      </c>
      <c r="C42" s="59" t="s">
        <v>109</v>
      </c>
      <c r="D42" s="102">
        <f>D39+D40</f>
        <v>4578909.056</v>
      </c>
      <c r="E42" s="78"/>
      <c r="F42" s="60" t="s">
        <v>115</v>
      </c>
      <c r="G42" s="62"/>
      <c r="H42" s="1"/>
      <c r="I42" s="56" t="s">
        <v>116</v>
      </c>
      <c r="J42" s="57">
        <f>SUM(J39:J41)</f>
        <v>3390857</v>
      </c>
      <c r="K42" s="103" t="s">
        <v>117</v>
      </c>
      <c r="L42" s="90" t="s">
        <v>118</v>
      </c>
      <c r="M42" s="1"/>
    </row>
    <row r="43" ht="13.5" customHeight="1">
      <c r="A43" s="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</row>
    <row r="44" ht="21.75" customHeight="1"/>
    <row r="45" ht="19.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7.5" customHeight="1"/>
    <row r="62" ht="21.75" customHeight="1"/>
    <row r="63" ht="19.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D40:E40"/>
    <mergeCell ref="D41:E41"/>
    <mergeCell ref="F41:G41"/>
    <mergeCell ref="D42:E42"/>
    <mergeCell ref="F42:G42"/>
    <mergeCell ref="B37:G37"/>
    <mergeCell ref="I37:L37"/>
    <mergeCell ref="D38:E38"/>
    <mergeCell ref="F38:G38"/>
    <mergeCell ref="D39:E39"/>
    <mergeCell ref="F39:G39"/>
    <mergeCell ref="F40:G40"/>
    <mergeCell ref="E6:G6"/>
    <mergeCell ref="H6:J6"/>
    <mergeCell ref="B2:G2"/>
    <mergeCell ref="B3:L3"/>
    <mergeCell ref="B5:D5"/>
    <mergeCell ref="E5:G5"/>
    <mergeCell ref="H5:J5"/>
    <mergeCell ref="K5:L5"/>
    <mergeCell ref="K6:L6"/>
    <mergeCell ref="B6:D6"/>
    <mergeCell ref="B8:L8"/>
    <mergeCell ref="B10:E10"/>
    <mergeCell ref="G10:L10"/>
    <mergeCell ref="J11:L11"/>
    <mergeCell ref="J12:L12"/>
    <mergeCell ref="J13:L13"/>
    <mergeCell ref="J14:L14"/>
    <mergeCell ref="J15:L15"/>
    <mergeCell ref="J16:L16"/>
    <mergeCell ref="B18:G18"/>
    <mergeCell ref="I18:L18"/>
    <mergeCell ref="I19:J19"/>
    <mergeCell ref="K19:L19"/>
    <mergeCell ref="K24:L24"/>
    <mergeCell ref="K25:L25"/>
    <mergeCell ref="K26:L26"/>
    <mergeCell ref="K27:L27"/>
    <mergeCell ref="I20:J20"/>
    <mergeCell ref="K20:L20"/>
    <mergeCell ref="I21:J21"/>
    <mergeCell ref="K21:L21"/>
    <mergeCell ref="I22:J22"/>
    <mergeCell ref="K22:L22"/>
    <mergeCell ref="K23:L23"/>
    <mergeCell ref="I23:J23"/>
    <mergeCell ref="I24:J24"/>
    <mergeCell ref="I25:J25"/>
    <mergeCell ref="I26:J26"/>
    <mergeCell ref="I27:J27"/>
    <mergeCell ref="B30:G30"/>
    <mergeCell ref="I30:L30"/>
  </mergeCells>
  <conditionalFormatting sqref="F20:F28">
    <cfRule type="expression" dxfId="0" priority="1">
      <formula>ISNUMBER(SEARCH("🟢", F20))</formula>
    </cfRule>
  </conditionalFormatting>
  <conditionalFormatting sqref="F20:F28">
    <cfRule type="expression" dxfId="0" priority="2">
      <formula>ISNUMBER(SEARCH("✅", F20))</formula>
    </cfRule>
  </conditionalFormatting>
  <conditionalFormatting sqref="F20:F28">
    <cfRule type="expression" dxfId="1" priority="3">
      <formula>ISNUMBER(SEARCH("🔴", F20))</formula>
    </cfRule>
  </conditionalFormatting>
  <conditionalFormatting sqref="F20:F28">
    <cfRule type="expression" dxfId="1" priority="4">
      <formula>ISNUMBER(SEARCH("🚨", F20))</formula>
    </cfRule>
  </conditionalFormatting>
  <conditionalFormatting sqref="F20:F28">
    <cfRule type="expression" dxfId="2" priority="5">
      <formula>ISNUMBER(SEARCH("🟡", F20))</formula>
    </cfRule>
  </conditionalFormatting>
  <conditionalFormatting sqref="F20:F28">
    <cfRule type="expression" dxfId="2" priority="6">
      <formula>ISNUMBER(SEARCH("⚠️", F20))</formula>
    </cfRule>
  </conditionalFormatting>
  <conditionalFormatting sqref="G32:G34">
    <cfRule type="expression" dxfId="0" priority="7">
      <formula>ISNUMBER(SEARCH("🟢", G32))</formula>
    </cfRule>
  </conditionalFormatting>
  <conditionalFormatting sqref="G32:G34">
    <cfRule type="expression" dxfId="0" priority="8">
      <formula>ISNUMBER(SEARCH("✅", G32))</formula>
    </cfRule>
  </conditionalFormatting>
  <conditionalFormatting sqref="G32:G34">
    <cfRule type="expression" dxfId="1" priority="9">
      <formula>ISNUMBER(SEARCH("🔴", G32))</formula>
    </cfRule>
  </conditionalFormatting>
  <conditionalFormatting sqref="G32:G34">
    <cfRule type="expression" dxfId="1" priority="10">
      <formula>ISNUMBER(SEARCH("🚨", G32))</formula>
    </cfRule>
  </conditionalFormatting>
  <conditionalFormatting sqref="G32:G34">
    <cfRule type="expression" dxfId="2" priority="11">
      <formula>ISNUMBER(SEARCH("🟡", G32))</formula>
    </cfRule>
  </conditionalFormatting>
  <conditionalFormatting sqref="G32:G34">
    <cfRule type="expression" dxfId="2" priority="12">
      <formula>ISNUMBER(SEARCH("⚠️", G32))</formula>
    </cfRule>
  </conditionalFormatting>
  <conditionalFormatting sqref="K32:K35">
    <cfRule type="expression" dxfId="0" priority="13">
      <formula>ISNUMBER(SEARCH("🟢", K32))</formula>
    </cfRule>
  </conditionalFormatting>
  <conditionalFormatting sqref="K32:K35">
    <cfRule type="expression" dxfId="0" priority="14">
      <formula>ISNUMBER(SEARCH("✅", K32))</formula>
    </cfRule>
  </conditionalFormatting>
  <conditionalFormatting sqref="K32:K35">
    <cfRule type="expression" dxfId="1" priority="15">
      <formula>ISNUMBER(SEARCH("🔴", K32))</formula>
    </cfRule>
  </conditionalFormatting>
  <conditionalFormatting sqref="K32:K35">
    <cfRule type="expression" dxfId="1" priority="16">
      <formula>ISNUMBER(SEARCH("🚨", K32))</formula>
    </cfRule>
  </conditionalFormatting>
  <conditionalFormatting sqref="K32:K35">
    <cfRule type="expression" dxfId="2" priority="17">
      <formula>ISNUMBER(SEARCH("🟡", K32))</formula>
    </cfRule>
  </conditionalFormatting>
  <conditionalFormatting sqref="K32:K35">
    <cfRule type="expression" dxfId="2" priority="18">
      <formula>ISNUMBER(SEARCH("⚠️", K32))</formula>
    </cfRule>
  </conditionalFormatting>
  <conditionalFormatting sqref="K39:K42">
    <cfRule type="expression" dxfId="0" priority="19">
      <formula>ISNUMBER(SEARCH("🟢", K39))</formula>
    </cfRule>
  </conditionalFormatting>
  <conditionalFormatting sqref="K39:K42">
    <cfRule type="expression" dxfId="0" priority="20">
      <formula>ISNUMBER(SEARCH("✅", K39))</formula>
    </cfRule>
  </conditionalFormatting>
  <conditionalFormatting sqref="K39:K42">
    <cfRule type="expression" dxfId="1" priority="21">
      <formula>ISNUMBER(SEARCH("🔴", K39))</formula>
    </cfRule>
  </conditionalFormatting>
  <conditionalFormatting sqref="K39:K42">
    <cfRule type="expression" dxfId="1" priority="22">
      <formula>ISNUMBER(SEARCH("🚨", K39))</formula>
    </cfRule>
  </conditionalFormatting>
  <conditionalFormatting sqref="K39:K42">
    <cfRule type="expression" dxfId="2" priority="23">
      <formula>ISNUMBER(SEARCH("🟡", K39))</formula>
    </cfRule>
  </conditionalFormatting>
  <conditionalFormatting sqref="K39:K42">
    <cfRule type="expression" dxfId="2" priority="24">
      <formula>ISNUMBER(SEARCH("⚠️", K39))</formula>
    </cfRule>
  </conditionalFormatting>
  <conditionalFormatting sqref="K27:L27">
    <cfRule type="expression" dxfId="0" priority="25">
      <formula>ISNUMBER(SEARCH("🟢", K27))</formula>
    </cfRule>
  </conditionalFormatting>
  <conditionalFormatting sqref="K27:L27">
    <cfRule type="expression" dxfId="0" priority="26">
      <formula>ISNUMBER(SEARCH("✅", K27))</formula>
    </cfRule>
  </conditionalFormatting>
  <conditionalFormatting sqref="K27:L27">
    <cfRule type="expression" dxfId="1" priority="27">
      <formula>ISNUMBER(SEARCH("🔴", K27))</formula>
    </cfRule>
  </conditionalFormatting>
  <conditionalFormatting sqref="K27:L27">
    <cfRule type="expression" dxfId="1" priority="28">
      <formula>ISNUMBER(SEARCH("🚨", K27))</formula>
    </cfRule>
  </conditionalFormatting>
  <conditionalFormatting sqref="K27:L27">
    <cfRule type="expression" dxfId="2" priority="29">
      <formula>ISNUMBER(SEARCH("🟡", K27))</formula>
    </cfRule>
  </conditionalFormatting>
  <conditionalFormatting sqref="K27:L27">
    <cfRule type="expression" dxfId="2" priority="30">
      <formula>ISNUMBER(SEARCH("⚠️", K27))</formula>
    </cfRule>
  </conditionalFormatting>
  <dataValidations>
    <dataValidation type="list" allowBlank="1" sqref="I2">
      <formula1>"2025,2026,2027"</formula1>
    </dataValidation>
    <dataValidation type="list" allowBlank="1" sqref="L2">
      <formula1>"enero,febrero,marzo,abril,mayo,junio,julio,agosto,septiembre,octubre,noviembre,diciembre"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24.0"/>
    <col customWidth="1" min="3" max="4" width="13.0"/>
    <col customWidth="1" min="5" max="5" width="28.0"/>
    <col customWidth="1" min="6" max="6" width="25.0"/>
    <col customWidth="1" min="7" max="7" width="46.0"/>
    <col customWidth="1" min="8" max="8" width="18.0"/>
    <col customWidth="1" min="9" max="9" width="27.0"/>
    <col customWidth="1" min="10" max="10" width="32.0"/>
    <col customWidth="1" min="11" max="11" width="15.0"/>
    <col customWidth="1" min="12" max="12" width="13.0"/>
    <col customWidth="1" min="13" max="13" width="23.0"/>
    <col customWidth="1" min="14" max="14" width="46.0"/>
    <col customWidth="1" min="15" max="16" width="19.0"/>
  </cols>
  <sheetData>
    <row r="1" ht="39.75" customHeight="1">
      <c r="A1" s="2" t="s">
        <v>119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24.0" customHeight="1">
      <c r="A2" s="9" t="s">
        <v>120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9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</row>
    <row r="4" ht="27.75" customHeight="1">
      <c r="A4" s="105" t="s">
        <v>121</v>
      </c>
      <c r="B4" s="106" t="s">
        <v>122</v>
      </c>
      <c r="C4" s="106" t="s">
        <v>123</v>
      </c>
      <c r="D4" s="106" t="s">
        <v>124</v>
      </c>
      <c r="E4" s="106" t="s">
        <v>41</v>
      </c>
      <c r="F4" s="106" t="s">
        <v>125</v>
      </c>
      <c r="G4" s="106" t="s">
        <v>126</v>
      </c>
      <c r="H4" s="106" t="s">
        <v>127</v>
      </c>
      <c r="I4" s="106" t="s">
        <v>128</v>
      </c>
      <c r="J4" s="106" t="s">
        <v>129</v>
      </c>
      <c r="K4" s="106" t="s">
        <v>130</v>
      </c>
      <c r="L4" s="106" t="s">
        <v>131</v>
      </c>
      <c r="M4" s="106" t="s">
        <v>132</v>
      </c>
      <c r="N4" s="106" t="s">
        <v>133</v>
      </c>
      <c r="O4" s="107" t="s">
        <v>134</v>
      </c>
      <c r="P4" s="108" t="s">
        <v>135</v>
      </c>
    </row>
    <row r="5" ht="21.75" customHeight="1">
      <c r="A5" s="109" t="s">
        <v>136</v>
      </c>
      <c r="B5" s="110">
        <v>46310.0</v>
      </c>
      <c r="C5" s="111" t="s">
        <v>137</v>
      </c>
      <c r="D5" s="111" t="s">
        <v>138</v>
      </c>
      <c r="E5" s="112" t="s">
        <v>139</v>
      </c>
      <c r="F5" s="112" t="s">
        <v>140</v>
      </c>
      <c r="G5" s="112" t="s">
        <v>141</v>
      </c>
      <c r="H5" s="113">
        <v>10100.0</v>
      </c>
      <c r="I5" s="114" t="s">
        <v>142</v>
      </c>
      <c r="J5" s="114" t="s">
        <v>143</v>
      </c>
      <c r="K5" s="111" t="s">
        <v>3</v>
      </c>
      <c r="L5" s="115">
        <v>2026.0</v>
      </c>
      <c r="M5" s="111" t="s">
        <v>144</v>
      </c>
      <c r="N5" s="112" t="s">
        <v>145</v>
      </c>
      <c r="O5" s="116">
        <f>IF(ISBLANK(A5), "", IF(AND(LOWER(TRIM(K5))=LOWER(TRIM(PANEL!$L$2)), L5=PANEL!$I$2), MAX($O$4:O4)+1, ""))</f>
        <v>1</v>
      </c>
      <c r="P5" s="100" t="str">
        <f t="shared" ref="P5:P246" si="1">IF(ISBLANK(A5), "", IF(OR(B5="Q1", B5="Q2"), B5, IF(ISNUMBER(B5), IF(DAY(B5)&lt;=15, "Q1", "Q2"), IF(MID(TRIM(B5),3,1)="/", IF(VALUE(LEFT(TRIM(B5),2))&lt;=15, "Q1", "Q2"), IF(MID(TRIM(B5),5,1)="-", IF(VALUE(MID(TRIM(B5),9,2))&lt;=15, "Q1", "Q2"), "Q1")))))</f>
        <v>Q1</v>
      </c>
    </row>
    <row r="6" ht="21.75" customHeight="1">
      <c r="A6" s="117" t="s">
        <v>146</v>
      </c>
      <c r="B6" s="118">
        <v>46302.0</v>
      </c>
      <c r="C6" s="119" t="s">
        <v>147</v>
      </c>
      <c r="D6" s="119" t="s">
        <v>138</v>
      </c>
      <c r="E6" s="120" t="s">
        <v>139</v>
      </c>
      <c r="F6" s="120" t="s">
        <v>148</v>
      </c>
      <c r="G6" s="120" t="s">
        <v>149</v>
      </c>
      <c r="H6" s="121">
        <v>14023.0</v>
      </c>
      <c r="I6" s="119" t="s">
        <v>150</v>
      </c>
      <c r="J6" s="119" t="s">
        <v>151</v>
      </c>
      <c r="K6" s="119" t="s">
        <v>3</v>
      </c>
      <c r="L6" s="122">
        <v>2026.0</v>
      </c>
      <c r="M6" s="119" t="s">
        <v>144</v>
      </c>
      <c r="N6" s="120" t="s">
        <v>152</v>
      </c>
      <c r="O6" s="123">
        <f>IF(ISBLANK(A6), "", IF(AND(LOWER(TRIM(K6))=LOWER(TRIM(PANEL!$L$2)), L6=PANEL!$I$2), MAX($O$4:O5)+1, ""))</f>
        <v>2</v>
      </c>
      <c r="P6" s="101" t="str">
        <f t="shared" si="1"/>
        <v>Q1</v>
      </c>
    </row>
    <row r="7" ht="21.75" customHeight="1">
      <c r="A7" s="109" t="s">
        <v>153</v>
      </c>
      <c r="B7" s="110">
        <v>46301.0</v>
      </c>
      <c r="C7" s="111" t="s">
        <v>154</v>
      </c>
      <c r="D7" s="111" t="s">
        <v>138</v>
      </c>
      <c r="E7" s="124" t="s">
        <v>155</v>
      </c>
      <c r="F7" s="124" t="s">
        <v>156</v>
      </c>
      <c r="G7" s="124" t="s">
        <v>157</v>
      </c>
      <c r="H7" s="113">
        <v>19000.0</v>
      </c>
      <c r="I7" s="111" t="s">
        <v>158</v>
      </c>
      <c r="J7" s="111" t="s">
        <v>143</v>
      </c>
      <c r="K7" s="111" t="s">
        <v>3</v>
      </c>
      <c r="L7" s="115">
        <v>2026.0</v>
      </c>
      <c r="M7" s="111" t="s">
        <v>159</v>
      </c>
      <c r="N7" s="124"/>
      <c r="O7" s="116">
        <f>IF(ISBLANK(A7), "", IF(AND(LOWER(TRIM(K7))=LOWER(TRIM(PANEL!$L$2)), L7=PANEL!$I$2), MAX($O$4:O6)+1, ""))</f>
        <v>3</v>
      </c>
      <c r="P7" s="100" t="str">
        <f t="shared" si="1"/>
        <v>Q1</v>
      </c>
    </row>
    <row r="8" ht="21.75" customHeight="1">
      <c r="A8" s="117" t="s">
        <v>160</v>
      </c>
      <c r="B8" s="118">
        <v>46301.0</v>
      </c>
      <c r="C8" s="119" t="s">
        <v>154</v>
      </c>
      <c r="D8" s="119" t="s">
        <v>138</v>
      </c>
      <c r="E8" s="120" t="s">
        <v>155</v>
      </c>
      <c r="F8" s="120" t="s">
        <v>161</v>
      </c>
      <c r="G8" s="120" t="s">
        <v>162</v>
      </c>
      <c r="H8" s="121">
        <v>31000.0</v>
      </c>
      <c r="I8" s="119" t="s">
        <v>158</v>
      </c>
      <c r="J8" s="119" t="s">
        <v>143</v>
      </c>
      <c r="K8" s="119" t="s">
        <v>3</v>
      </c>
      <c r="L8" s="122">
        <v>2026.0</v>
      </c>
      <c r="M8" s="119" t="s">
        <v>159</v>
      </c>
      <c r="N8" s="120"/>
      <c r="O8" s="123">
        <f>IF(ISBLANK(A8), "", IF(AND(LOWER(TRIM(K8))=LOWER(TRIM(PANEL!$L$2)), L8=PANEL!$I$2), MAX($O$4:O7)+1, ""))</f>
        <v>4</v>
      </c>
      <c r="P8" s="101" t="str">
        <f t="shared" si="1"/>
        <v>Q1</v>
      </c>
    </row>
    <row r="9" ht="21.75" customHeight="1">
      <c r="A9" s="117" t="s">
        <v>163</v>
      </c>
      <c r="B9" s="118">
        <v>46297.0</v>
      </c>
      <c r="C9" s="119" t="s">
        <v>164</v>
      </c>
      <c r="D9" s="119" t="s">
        <v>138</v>
      </c>
      <c r="E9" s="120" t="s">
        <v>155</v>
      </c>
      <c r="F9" s="120" t="s">
        <v>161</v>
      </c>
      <c r="G9" s="120" t="s">
        <v>165</v>
      </c>
      <c r="H9" s="121">
        <v>33000.0</v>
      </c>
      <c r="I9" s="119" t="s">
        <v>158</v>
      </c>
      <c r="J9" s="119" t="s">
        <v>143</v>
      </c>
      <c r="K9" s="119" t="s">
        <v>3</v>
      </c>
      <c r="L9" s="122">
        <v>2026.0</v>
      </c>
      <c r="M9" s="119" t="s">
        <v>159</v>
      </c>
      <c r="N9" s="120"/>
      <c r="O9" s="123">
        <f>IF(ISBLANK(A9), "", IF(AND(LOWER(TRIM(K9))=LOWER(TRIM(PANEL!$L$2)), L9=PANEL!$I$2), MAX($O$4:O8)+1, ""))</f>
        <v>5</v>
      </c>
      <c r="P9" s="101" t="str">
        <f t="shared" si="1"/>
        <v>Q1</v>
      </c>
    </row>
    <row r="10" ht="21.75" customHeight="1">
      <c r="A10" s="109" t="s">
        <v>166</v>
      </c>
      <c r="B10" s="110">
        <v>46297.0</v>
      </c>
      <c r="C10" s="111" t="s">
        <v>167</v>
      </c>
      <c r="D10" s="111" t="s">
        <v>138</v>
      </c>
      <c r="E10" s="124" t="s">
        <v>56</v>
      </c>
      <c r="F10" s="124" t="s">
        <v>168</v>
      </c>
      <c r="G10" s="124" t="s">
        <v>169</v>
      </c>
      <c r="H10" s="113">
        <v>33000.0</v>
      </c>
      <c r="I10" s="111" t="s">
        <v>170</v>
      </c>
      <c r="J10" s="111" t="s">
        <v>170</v>
      </c>
      <c r="K10" s="111" t="s">
        <v>3</v>
      </c>
      <c r="L10" s="115">
        <v>2026.0</v>
      </c>
      <c r="M10" s="111" t="s">
        <v>159</v>
      </c>
      <c r="N10" s="124"/>
      <c r="O10" s="116">
        <f>IF(ISBLANK(A10), "", IF(AND(LOWER(TRIM(K10))=LOWER(TRIM(PANEL!$L$2)), L10=PANEL!$I$2), MAX($O$4:O9)+1, ""))</f>
        <v>6</v>
      </c>
      <c r="P10" s="100" t="str">
        <f t="shared" si="1"/>
        <v>Q1</v>
      </c>
    </row>
    <row r="11" ht="21.75" customHeight="1">
      <c r="A11" s="117" t="s">
        <v>171</v>
      </c>
      <c r="B11" s="118">
        <v>46295.0</v>
      </c>
      <c r="C11" s="119" t="s">
        <v>172</v>
      </c>
      <c r="D11" s="119" t="s">
        <v>138</v>
      </c>
      <c r="E11" s="120" t="s">
        <v>173</v>
      </c>
      <c r="F11" s="120" t="s">
        <v>140</v>
      </c>
      <c r="G11" s="120" t="s">
        <v>174</v>
      </c>
      <c r="H11" s="121">
        <v>900000.0</v>
      </c>
      <c r="I11" s="119" t="s">
        <v>158</v>
      </c>
      <c r="J11" s="119" t="s">
        <v>143</v>
      </c>
      <c r="K11" s="119" t="s">
        <v>175</v>
      </c>
      <c r="L11" s="122">
        <v>2026.0</v>
      </c>
      <c r="M11" s="119" t="s">
        <v>159</v>
      </c>
      <c r="N11" s="120" t="s">
        <v>176</v>
      </c>
      <c r="O11" s="123" t="str">
        <f>IF(ISBLANK(A11), "", IF(AND(LOWER(TRIM(K11))=LOWER(TRIM(PANEL!$L$2)), L11=PANEL!$I$2), MAX($O$4:O10)+1, ""))</f>
        <v/>
      </c>
      <c r="P11" s="101" t="str">
        <f t="shared" si="1"/>
        <v>Q2</v>
      </c>
    </row>
    <row r="12" ht="21.75" customHeight="1">
      <c r="A12" s="109" t="s">
        <v>177</v>
      </c>
      <c r="B12" s="110">
        <v>46295.0</v>
      </c>
      <c r="C12" s="111" t="s">
        <v>178</v>
      </c>
      <c r="D12" s="111" t="s">
        <v>138</v>
      </c>
      <c r="E12" s="124" t="s">
        <v>179</v>
      </c>
      <c r="F12" s="124" t="s">
        <v>140</v>
      </c>
      <c r="G12" s="124" t="s">
        <v>180</v>
      </c>
      <c r="H12" s="113">
        <v>43900.0</v>
      </c>
      <c r="I12" s="111" t="s">
        <v>158</v>
      </c>
      <c r="J12" s="111" t="s">
        <v>143</v>
      </c>
      <c r="K12" s="111" t="s">
        <v>175</v>
      </c>
      <c r="L12" s="115">
        <v>2026.0</v>
      </c>
      <c r="M12" s="111" t="s">
        <v>159</v>
      </c>
      <c r="N12" s="124" t="s">
        <v>181</v>
      </c>
      <c r="O12" s="116" t="str">
        <f>IF(ISBLANK(A12), "", IF(AND(LOWER(TRIM(K12))=LOWER(TRIM(PANEL!$L$2)), L12=PANEL!$I$2), MAX($O$4:O11)+1, ""))</f>
        <v/>
      </c>
      <c r="P12" s="100" t="str">
        <f t="shared" si="1"/>
        <v>Q2</v>
      </c>
    </row>
    <row r="13" ht="21.75" customHeight="1">
      <c r="A13" s="117" t="s">
        <v>182</v>
      </c>
      <c r="B13" s="118">
        <v>46297.0</v>
      </c>
      <c r="C13" s="119" t="s">
        <v>183</v>
      </c>
      <c r="D13" s="119" t="s">
        <v>138</v>
      </c>
      <c r="E13" s="120" t="s">
        <v>56</v>
      </c>
      <c r="F13" s="120" t="s">
        <v>168</v>
      </c>
      <c r="G13" s="120" t="s">
        <v>184</v>
      </c>
      <c r="H13" s="121">
        <v>34000.0</v>
      </c>
      <c r="I13" s="119" t="s">
        <v>170</v>
      </c>
      <c r="J13" s="119" t="s">
        <v>170</v>
      </c>
      <c r="K13" s="119" t="s">
        <v>3</v>
      </c>
      <c r="L13" s="122">
        <v>2026.0</v>
      </c>
      <c r="M13" s="119" t="s">
        <v>159</v>
      </c>
      <c r="N13" s="120"/>
      <c r="O13" s="123">
        <f>IF(ISBLANK(A13), "", IF(AND(LOWER(TRIM(K13))=LOWER(TRIM(PANEL!$L$2)), L13=PANEL!$I$2), MAX($O$4:O12)+1, ""))</f>
        <v>7</v>
      </c>
      <c r="P13" s="101" t="str">
        <f t="shared" si="1"/>
        <v>Q1</v>
      </c>
    </row>
    <row r="14" ht="21.75" customHeight="1">
      <c r="A14" s="109" t="s">
        <v>185</v>
      </c>
      <c r="B14" s="110">
        <v>46296.0</v>
      </c>
      <c r="C14" s="111" t="s">
        <v>186</v>
      </c>
      <c r="D14" s="111" t="s">
        <v>138</v>
      </c>
      <c r="E14" s="124" t="s">
        <v>155</v>
      </c>
      <c r="F14" s="124" t="s">
        <v>161</v>
      </c>
      <c r="G14" s="124" t="s">
        <v>187</v>
      </c>
      <c r="H14" s="113">
        <v>33000.0</v>
      </c>
      <c r="I14" s="111" t="s">
        <v>158</v>
      </c>
      <c r="J14" s="111" t="s">
        <v>143</v>
      </c>
      <c r="K14" s="111" t="s">
        <v>3</v>
      </c>
      <c r="L14" s="115">
        <v>2026.0</v>
      </c>
      <c r="M14" s="111" t="s">
        <v>159</v>
      </c>
      <c r="N14" s="124"/>
      <c r="O14" s="116">
        <f>IF(ISBLANK(A14), "", IF(AND(LOWER(TRIM(K14))=LOWER(TRIM(PANEL!$L$2)), L14=PANEL!$I$2), MAX($O$4:O13)+1, ""))</f>
        <v>8</v>
      </c>
      <c r="P14" s="100" t="str">
        <f t="shared" si="1"/>
        <v>Q1</v>
      </c>
    </row>
    <row r="15" ht="21.75" customHeight="1">
      <c r="A15" s="117" t="s">
        <v>188</v>
      </c>
      <c r="B15" s="118" t="s">
        <v>189</v>
      </c>
      <c r="C15" s="119" t="s">
        <v>190</v>
      </c>
      <c r="D15" s="119" t="s">
        <v>191</v>
      </c>
      <c r="E15" s="120" t="s">
        <v>192</v>
      </c>
      <c r="F15" s="120" t="s">
        <v>193</v>
      </c>
      <c r="G15" s="120" t="s">
        <v>194</v>
      </c>
      <c r="H15" s="121">
        <v>2339862.0</v>
      </c>
      <c r="I15" s="119" t="s">
        <v>195</v>
      </c>
      <c r="J15" s="119" t="s">
        <v>196</v>
      </c>
      <c r="K15" s="119" t="s">
        <v>197</v>
      </c>
      <c r="L15" s="122">
        <v>2026.0</v>
      </c>
      <c r="M15" s="119" t="s">
        <v>159</v>
      </c>
      <c r="N15" s="120" t="s">
        <v>198</v>
      </c>
      <c r="O15" s="123" t="str">
        <f>IF(ISBLANK(A15), "", IF(AND(LOWER(TRIM(K15))=LOWER(TRIM(PANEL!$L$2)), L15=PANEL!$I$2), MAX($O$4:O14)+1, ""))</f>
        <v/>
      </c>
      <c r="P15" s="125" t="str">
        <f t="shared" si="1"/>
        <v>Q1</v>
      </c>
    </row>
    <row r="16" ht="21.75" customHeight="1">
      <c r="A16" s="109" t="s">
        <v>199</v>
      </c>
      <c r="B16" s="110" t="s">
        <v>200</v>
      </c>
      <c r="C16" s="111" t="s">
        <v>190</v>
      </c>
      <c r="D16" s="111" t="s">
        <v>191</v>
      </c>
      <c r="E16" s="124" t="s">
        <v>192</v>
      </c>
      <c r="F16" s="124" t="s">
        <v>193</v>
      </c>
      <c r="G16" s="124" t="s">
        <v>194</v>
      </c>
      <c r="H16" s="113">
        <v>1502360.0</v>
      </c>
      <c r="I16" s="111" t="s">
        <v>195</v>
      </c>
      <c r="J16" s="111" t="s">
        <v>201</v>
      </c>
      <c r="K16" s="111" t="s">
        <v>197</v>
      </c>
      <c r="L16" s="115">
        <v>2026.0</v>
      </c>
      <c r="M16" s="111" t="s">
        <v>159</v>
      </c>
      <c r="N16" s="124" t="s">
        <v>202</v>
      </c>
      <c r="O16" s="116" t="str">
        <f>IF(ISBLANK(A16), "", IF(AND(LOWER(TRIM(K16))=LOWER(TRIM(PANEL!$L$2)), L16=PANEL!$I$2), MAX($O$4:O15)+1, ""))</f>
        <v/>
      </c>
      <c r="P16" s="126" t="str">
        <f t="shared" si="1"/>
        <v>Q2</v>
      </c>
    </row>
    <row r="17" ht="21.75" customHeight="1">
      <c r="A17" s="117" t="s">
        <v>203</v>
      </c>
      <c r="B17" s="118" t="s">
        <v>189</v>
      </c>
      <c r="C17" s="119" t="s">
        <v>190</v>
      </c>
      <c r="D17" s="119" t="s">
        <v>191</v>
      </c>
      <c r="E17" s="120" t="s">
        <v>192</v>
      </c>
      <c r="F17" s="120" t="s">
        <v>193</v>
      </c>
      <c r="G17" s="120" t="s">
        <v>194</v>
      </c>
      <c r="H17" s="121">
        <v>1687372.0</v>
      </c>
      <c r="I17" s="119" t="s">
        <v>195</v>
      </c>
      <c r="J17" s="119" t="s">
        <v>204</v>
      </c>
      <c r="K17" s="119" t="s">
        <v>205</v>
      </c>
      <c r="L17" s="122">
        <v>2026.0</v>
      </c>
      <c r="M17" s="119" t="s">
        <v>159</v>
      </c>
      <c r="N17" s="120" t="s">
        <v>206</v>
      </c>
      <c r="O17" s="123" t="str">
        <f>IF(ISBLANK(A17), "", IF(AND(LOWER(TRIM(K17))=LOWER(TRIM(PANEL!$L$2)), L17=PANEL!$I$2), MAX($O$4:O16)+1, ""))</f>
        <v/>
      </c>
      <c r="P17" s="125" t="str">
        <f t="shared" si="1"/>
        <v>Q1</v>
      </c>
    </row>
    <row r="18" ht="21.75" customHeight="1">
      <c r="A18" s="109" t="s">
        <v>207</v>
      </c>
      <c r="B18" s="110" t="s">
        <v>200</v>
      </c>
      <c r="C18" s="111" t="s">
        <v>190</v>
      </c>
      <c r="D18" s="111" t="s">
        <v>191</v>
      </c>
      <c r="E18" s="124" t="s">
        <v>192</v>
      </c>
      <c r="F18" s="124" t="s">
        <v>193</v>
      </c>
      <c r="G18" s="124" t="s">
        <v>194</v>
      </c>
      <c r="H18" s="113">
        <v>1046300.0</v>
      </c>
      <c r="I18" s="111" t="s">
        <v>195</v>
      </c>
      <c r="J18" s="111" t="s">
        <v>208</v>
      </c>
      <c r="K18" s="111" t="s">
        <v>205</v>
      </c>
      <c r="L18" s="115">
        <v>2026.0</v>
      </c>
      <c r="M18" s="111" t="s">
        <v>159</v>
      </c>
      <c r="N18" s="124" t="s">
        <v>209</v>
      </c>
      <c r="O18" s="116" t="str">
        <f>IF(ISBLANK(A18), "", IF(AND(LOWER(TRIM(K18))=LOWER(TRIM(PANEL!$L$2)), L18=PANEL!$I$2), MAX($O$4:O17)+1, ""))</f>
        <v/>
      </c>
      <c r="P18" s="126" t="str">
        <f t="shared" si="1"/>
        <v>Q2</v>
      </c>
    </row>
    <row r="19" ht="21.75" customHeight="1">
      <c r="A19" s="117" t="s">
        <v>210</v>
      </c>
      <c r="B19" s="118" t="s">
        <v>189</v>
      </c>
      <c r="C19" s="119" t="s">
        <v>190</v>
      </c>
      <c r="D19" s="119" t="s">
        <v>191</v>
      </c>
      <c r="E19" s="120" t="s">
        <v>192</v>
      </c>
      <c r="F19" s="120" t="s">
        <v>193</v>
      </c>
      <c r="G19" s="120" t="s">
        <v>194</v>
      </c>
      <c r="H19" s="121">
        <v>1750495.0</v>
      </c>
      <c r="I19" s="119" t="s">
        <v>195</v>
      </c>
      <c r="J19" s="119" t="s">
        <v>211</v>
      </c>
      <c r="K19" s="119" t="s">
        <v>212</v>
      </c>
      <c r="L19" s="122">
        <v>2026.0</v>
      </c>
      <c r="M19" s="119" t="s">
        <v>159</v>
      </c>
      <c r="N19" s="120" t="s">
        <v>213</v>
      </c>
      <c r="O19" s="123" t="str">
        <f>IF(ISBLANK(A19), "", IF(AND(LOWER(TRIM(K19))=LOWER(TRIM(PANEL!$L$2)), L19=PANEL!$I$2), MAX($O$4:O18)+1, ""))</f>
        <v/>
      </c>
      <c r="P19" s="125" t="str">
        <f t="shared" si="1"/>
        <v>Q1</v>
      </c>
    </row>
    <row r="20" ht="21.75" customHeight="1">
      <c r="A20" s="109" t="s">
        <v>214</v>
      </c>
      <c r="B20" s="110" t="s">
        <v>200</v>
      </c>
      <c r="C20" s="111" t="s">
        <v>190</v>
      </c>
      <c r="D20" s="111" t="s">
        <v>191</v>
      </c>
      <c r="E20" s="124" t="s">
        <v>192</v>
      </c>
      <c r="F20" s="124" t="s">
        <v>193</v>
      </c>
      <c r="G20" s="124" t="s">
        <v>194</v>
      </c>
      <c r="H20" s="113">
        <v>1758916.0</v>
      </c>
      <c r="I20" s="111" t="s">
        <v>195</v>
      </c>
      <c r="J20" s="111" t="s">
        <v>215</v>
      </c>
      <c r="K20" s="111" t="s">
        <v>212</v>
      </c>
      <c r="L20" s="115">
        <v>2026.0</v>
      </c>
      <c r="M20" s="111" t="s">
        <v>159</v>
      </c>
      <c r="N20" s="124" t="s">
        <v>216</v>
      </c>
      <c r="O20" s="116" t="str">
        <f>IF(ISBLANK(A20), "", IF(AND(LOWER(TRIM(K20))=LOWER(TRIM(PANEL!$L$2)), L20=PANEL!$I$2), MAX($O$4:O19)+1, ""))</f>
        <v/>
      </c>
      <c r="P20" s="126" t="str">
        <f t="shared" si="1"/>
        <v>Q2</v>
      </c>
    </row>
    <row r="21" ht="21.75" customHeight="1">
      <c r="A21" s="117" t="s">
        <v>217</v>
      </c>
      <c r="B21" s="118" t="s">
        <v>189</v>
      </c>
      <c r="C21" s="119" t="s">
        <v>190</v>
      </c>
      <c r="D21" s="119" t="s">
        <v>191</v>
      </c>
      <c r="E21" s="120" t="s">
        <v>192</v>
      </c>
      <c r="F21" s="120" t="s">
        <v>193</v>
      </c>
      <c r="G21" s="120" t="s">
        <v>194</v>
      </c>
      <c r="H21" s="121">
        <v>1918622.0</v>
      </c>
      <c r="I21" s="119" t="s">
        <v>195</v>
      </c>
      <c r="J21" s="119" t="s">
        <v>218</v>
      </c>
      <c r="K21" s="119" t="s">
        <v>219</v>
      </c>
      <c r="L21" s="122">
        <v>2026.0</v>
      </c>
      <c r="M21" s="119" t="s">
        <v>159</v>
      </c>
      <c r="N21" s="120" t="s">
        <v>220</v>
      </c>
      <c r="O21" s="123" t="str">
        <f>IF(ISBLANK(A21), "", IF(AND(LOWER(TRIM(K21))=LOWER(TRIM(PANEL!$L$2)), L21=PANEL!$I$2), MAX($O$4:O20)+1, ""))</f>
        <v/>
      </c>
      <c r="P21" s="125" t="str">
        <f t="shared" si="1"/>
        <v>Q1</v>
      </c>
    </row>
    <row r="22" ht="21.75" customHeight="1">
      <c r="A22" s="109" t="s">
        <v>221</v>
      </c>
      <c r="B22" s="110" t="s">
        <v>200</v>
      </c>
      <c r="C22" s="111" t="s">
        <v>190</v>
      </c>
      <c r="D22" s="111" t="s">
        <v>191</v>
      </c>
      <c r="E22" s="124" t="s">
        <v>192</v>
      </c>
      <c r="F22" s="124" t="s">
        <v>193</v>
      </c>
      <c r="G22" s="124" t="s">
        <v>194</v>
      </c>
      <c r="H22" s="113">
        <v>1575490.0</v>
      </c>
      <c r="I22" s="111" t="s">
        <v>195</v>
      </c>
      <c r="J22" s="111" t="s">
        <v>222</v>
      </c>
      <c r="K22" s="111" t="s">
        <v>219</v>
      </c>
      <c r="L22" s="115">
        <v>2026.0</v>
      </c>
      <c r="M22" s="111" t="s">
        <v>159</v>
      </c>
      <c r="N22" s="124" t="s">
        <v>223</v>
      </c>
      <c r="O22" s="116" t="str">
        <f>IF(ISBLANK(A22), "", IF(AND(LOWER(TRIM(K22))=LOWER(TRIM(PANEL!$L$2)), L22=PANEL!$I$2), MAX($O$4:O21)+1, ""))</f>
        <v/>
      </c>
      <c r="P22" s="126" t="str">
        <f t="shared" si="1"/>
        <v>Q2</v>
      </c>
    </row>
    <row r="23" ht="21.75" customHeight="1">
      <c r="A23" s="117" t="s">
        <v>224</v>
      </c>
      <c r="B23" s="118" t="s">
        <v>189</v>
      </c>
      <c r="C23" s="119" t="s">
        <v>190</v>
      </c>
      <c r="D23" s="119" t="s">
        <v>191</v>
      </c>
      <c r="E23" s="120" t="s">
        <v>192</v>
      </c>
      <c r="F23" s="120" t="s">
        <v>193</v>
      </c>
      <c r="G23" s="120" t="s">
        <v>194</v>
      </c>
      <c r="H23" s="121">
        <v>1637623.0</v>
      </c>
      <c r="I23" s="119" t="s">
        <v>195</v>
      </c>
      <c r="J23" s="119" t="s">
        <v>225</v>
      </c>
      <c r="K23" s="119" t="s">
        <v>226</v>
      </c>
      <c r="L23" s="122">
        <v>2026.0</v>
      </c>
      <c r="M23" s="119" t="s">
        <v>159</v>
      </c>
      <c r="N23" s="120" t="s">
        <v>227</v>
      </c>
      <c r="O23" s="123" t="str">
        <f>IF(ISBLANK(A23), "", IF(AND(LOWER(TRIM(K23))=LOWER(TRIM(PANEL!$L$2)), L23=PANEL!$I$2), MAX($O$4:O22)+1, ""))</f>
        <v/>
      </c>
      <c r="P23" s="125" t="str">
        <f t="shared" si="1"/>
        <v>Q1</v>
      </c>
    </row>
    <row r="24" ht="21.75" customHeight="1">
      <c r="A24" s="109" t="s">
        <v>228</v>
      </c>
      <c r="B24" s="110" t="s">
        <v>200</v>
      </c>
      <c r="C24" s="111" t="s">
        <v>190</v>
      </c>
      <c r="D24" s="111" t="s">
        <v>191</v>
      </c>
      <c r="E24" s="124" t="s">
        <v>192</v>
      </c>
      <c r="F24" s="124" t="s">
        <v>193</v>
      </c>
      <c r="G24" s="124" t="s">
        <v>194</v>
      </c>
      <c r="H24" s="113">
        <v>1526130.0</v>
      </c>
      <c r="I24" s="111" t="s">
        <v>195</v>
      </c>
      <c r="J24" s="111" t="s">
        <v>229</v>
      </c>
      <c r="K24" s="111" t="s">
        <v>226</v>
      </c>
      <c r="L24" s="115">
        <v>2026.0</v>
      </c>
      <c r="M24" s="111" t="s">
        <v>159</v>
      </c>
      <c r="N24" s="124" t="s">
        <v>230</v>
      </c>
      <c r="O24" s="116" t="str">
        <f>IF(ISBLANK(A24), "", IF(AND(LOWER(TRIM(K24))=LOWER(TRIM(PANEL!$L$2)), L24=PANEL!$I$2), MAX($O$4:O23)+1, ""))</f>
        <v/>
      </c>
      <c r="P24" s="126" t="str">
        <f t="shared" si="1"/>
        <v>Q2</v>
      </c>
    </row>
    <row r="25" ht="21.75" customHeight="1">
      <c r="A25" s="117" t="s">
        <v>231</v>
      </c>
      <c r="B25" s="118" t="s">
        <v>189</v>
      </c>
      <c r="C25" s="119" t="s">
        <v>190</v>
      </c>
      <c r="D25" s="119" t="s">
        <v>191</v>
      </c>
      <c r="E25" s="120" t="s">
        <v>192</v>
      </c>
      <c r="F25" s="120" t="s">
        <v>193</v>
      </c>
      <c r="G25" s="120" t="s">
        <v>194</v>
      </c>
      <c r="H25" s="121">
        <v>3519208.0</v>
      </c>
      <c r="I25" s="119" t="s">
        <v>195</v>
      </c>
      <c r="J25" s="119" t="s">
        <v>232</v>
      </c>
      <c r="K25" s="119" t="s">
        <v>233</v>
      </c>
      <c r="L25" s="122">
        <v>2026.0</v>
      </c>
      <c r="M25" s="119" t="s">
        <v>159</v>
      </c>
      <c r="N25" s="120" t="s">
        <v>234</v>
      </c>
      <c r="O25" s="123" t="str">
        <f>IF(ISBLANK(A25), "", IF(AND(LOWER(TRIM(K25))=LOWER(TRIM(PANEL!$L$2)), L25=PANEL!$I$2), MAX($O$4:O24)+1, ""))</f>
        <v/>
      </c>
      <c r="P25" s="125" t="str">
        <f t="shared" si="1"/>
        <v>Q1</v>
      </c>
    </row>
    <row r="26" ht="21.75" customHeight="1">
      <c r="A26" s="109" t="s">
        <v>235</v>
      </c>
      <c r="B26" s="110" t="s">
        <v>200</v>
      </c>
      <c r="C26" s="111" t="s">
        <v>190</v>
      </c>
      <c r="D26" s="111" t="s">
        <v>191</v>
      </c>
      <c r="E26" s="124" t="s">
        <v>192</v>
      </c>
      <c r="F26" s="124" t="s">
        <v>193</v>
      </c>
      <c r="G26" s="124" t="s">
        <v>194</v>
      </c>
      <c r="H26" s="113">
        <v>1938906.0</v>
      </c>
      <c r="I26" s="111" t="s">
        <v>195</v>
      </c>
      <c r="J26" s="111" t="s">
        <v>236</v>
      </c>
      <c r="K26" s="111" t="s">
        <v>233</v>
      </c>
      <c r="L26" s="115">
        <v>2026.0</v>
      </c>
      <c r="M26" s="111" t="s">
        <v>159</v>
      </c>
      <c r="N26" s="124" t="s">
        <v>237</v>
      </c>
      <c r="O26" s="116" t="str">
        <f>IF(ISBLANK(A26), "", IF(AND(LOWER(TRIM(K26))=LOWER(TRIM(PANEL!$L$2)), L26=PANEL!$I$2), MAX($O$4:O25)+1, ""))</f>
        <v/>
      </c>
      <c r="P26" s="126" t="str">
        <f t="shared" si="1"/>
        <v>Q2</v>
      </c>
    </row>
    <row r="27" ht="21.75" customHeight="1">
      <c r="A27" s="117" t="s">
        <v>238</v>
      </c>
      <c r="B27" s="118" t="s">
        <v>189</v>
      </c>
      <c r="C27" s="119" t="s">
        <v>190</v>
      </c>
      <c r="D27" s="119" t="s">
        <v>191</v>
      </c>
      <c r="E27" s="120" t="s">
        <v>192</v>
      </c>
      <c r="F27" s="120" t="s">
        <v>193</v>
      </c>
      <c r="G27" s="120" t="s">
        <v>194</v>
      </c>
      <c r="H27" s="121">
        <v>1674389.0</v>
      </c>
      <c r="I27" s="119" t="s">
        <v>195</v>
      </c>
      <c r="J27" s="119" t="s">
        <v>239</v>
      </c>
      <c r="K27" s="119" t="s">
        <v>240</v>
      </c>
      <c r="L27" s="122">
        <v>2026.0</v>
      </c>
      <c r="M27" s="119" t="s">
        <v>159</v>
      </c>
      <c r="N27" s="120" t="s">
        <v>241</v>
      </c>
      <c r="O27" s="123" t="str">
        <f>IF(ISBLANK(A27), "", IF(AND(LOWER(TRIM(K27))=LOWER(TRIM(PANEL!$L$2)), L27=PANEL!$I$2), MAX($O$4:O26)+1, ""))</f>
        <v/>
      </c>
      <c r="P27" s="125" t="str">
        <f t="shared" si="1"/>
        <v>Q1</v>
      </c>
    </row>
    <row r="28" ht="21.75" customHeight="1">
      <c r="A28" s="109" t="s">
        <v>242</v>
      </c>
      <c r="B28" s="110" t="s">
        <v>200</v>
      </c>
      <c r="C28" s="111" t="s">
        <v>190</v>
      </c>
      <c r="D28" s="111" t="s">
        <v>191</v>
      </c>
      <c r="E28" s="124" t="s">
        <v>192</v>
      </c>
      <c r="F28" s="124" t="s">
        <v>193</v>
      </c>
      <c r="G28" s="124" t="s">
        <v>194</v>
      </c>
      <c r="H28" s="113">
        <v>1497802.0</v>
      </c>
      <c r="I28" s="111" t="s">
        <v>195</v>
      </c>
      <c r="J28" s="111" t="s">
        <v>243</v>
      </c>
      <c r="K28" s="111" t="s">
        <v>240</v>
      </c>
      <c r="L28" s="115">
        <v>2026.0</v>
      </c>
      <c r="M28" s="111" t="s">
        <v>159</v>
      </c>
      <c r="N28" s="124" t="s">
        <v>244</v>
      </c>
      <c r="O28" s="116" t="str">
        <f>IF(ISBLANK(A28), "", IF(AND(LOWER(TRIM(K28))=LOWER(TRIM(PANEL!$L$2)), L28=PANEL!$I$2), MAX($O$4:O27)+1, ""))</f>
        <v/>
      </c>
      <c r="P28" s="126" t="str">
        <f t="shared" si="1"/>
        <v>Q2</v>
      </c>
    </row>
    <row r="29" ht="21.75" customHeight="1">
      <c r="A29" s="117" t="s">
        <v>245</v>
      </c>
      <c r="B29" s="118" t="s">
        <v>189</v>
      </c>
      <c r="C29" s="119" t="s">
        <v>190</v>
      </c>
      <c r="D29" s="119" t="s">
        <v>191</v>
      </c>
      <c r="E29" s="120" t="s">
        <v>192</v>
      </c>
      <c r="F29" s="120" t="s">
        <v>193</v>
      </c>
      <c r="G29" s="120" t="s">
        <v>194</v>
      </c>
      <c r="H29" s="121">
        <v>1662038.0</v>
      </c>
      <c r="I29" s="119" t="s">
        <v>195</v>
      </c>
      <c r="J29" s="119" t="s">
        <v>246</v>
      </c>
      <c r="K29" s="119" t="s">
        <v>247</v>
      </c>
      <c r="L29" s="122">
        <v>2026.0</v>
      </c>
      <c r="M29" s="119" t="s">
        <v>159</v>
      </c>
      <c r="N29" s="120" t="s">
        <v>248</v>
      </c>
      <c r="O29" s="123" t="str">
        <f>IF(ISBLANK(A29), "", IF(AND(LOWER(TRIM(K29))=LOWER(TRIM(PANEL!$L$2)), L29=PANEL!$I$2), MAX($O$4:O28)+1, ""))</f>
        <v/>
      </c>
      <c r="P29" s="125" t="str">
        <f t="shared" si="1"/>
        <v>Q1</v>
      </c>
    </row>
    <row r="30" ht="21.75" customHeight="1">
      <c r="A30" s="109" t="s">
        <v>249</v>
      </c>
      <c r="B30" s="110" t="s">
        <v>200</v>
      </c>
      <c r="C30" s="111" t="s">
        <v>250</v>
      </c>
      <c r="D30" s="111" t="s">
        <v>191</v>
      </c>
      <c r="E30" s="124" t="s">
        <v>192</v>
      </c>
      <c r="F30" s="124" t="s">
        <v>193</v>
      </c>
      <c r="G30" s="124" t="s">
        <v>194</v>
      </c>
      <c r="H30" s="113">
        <v>2073355.0</v>
      </c>
      <c r="I30" s="111" t="s">
        <v>195</v>
      </c>
      <c r="J30" s="111" t="s">
        <v>251</v>
      </c>
      <c r="K30" s="111" t="s">
        <v>247</v>
      </c>
      <c r="L30" s="115">
        <v>2026.0</v>
      </c>
      <c r="M30" s="111" t="s">
        <v>159</v>
      </c>
      <c r="N30" s="124" t="s">
        <v>252</v>
      </c>
      <c r="O30" s="116" t="str">
        <f>IF(ISBLANK(A30), "", IF(AND(LOWER(TRIM(K30))=LOWER(TRIM(PANEL!$L$2)), L30=PANEL!$I$2), MAX($O$4:O29)+1, ""))</f>
        <v/>
      </c>
      <c r="P30" s="126" t="str">
        <f t="shared" si="1"/>
        <v>Q2</v>
      </c>
    </row>
    <row r="31" ht="21.75" customHeight="1">
      <c r="A31" s="117" t="s">
        <v>253</v>
      </c>
      <c r="B31" s="118" t="s">
        <v>189</v>
      </c>
      <c r="C31" s="119" t="s">
        <v>250</v>
      </c>
      <c r="D31" s="119" t="s">
        <v>191</v>
      </c>
      <c r="E31" s="120" t="s">
        <v>192</v>
      </c>
      <c r="F31" s="120" t="s">
        <v>193</v>
      </c>
      <c r="G31" s="120" t="s">
        <v>194</v>
      </c>
      <c r="H31" s="121">
        <v>1702727.0</v>
      </c>
      <c r="I31" s="119" t="s">
        <v>195</v>
      </c>
      <c r="J31" s="119" t="s">
        <v>254</v>
      </c>
      <c r="K31" s="119" t="s">
        <v>175</v>
      </c>
      <c r="L31" s="122">
        <v>2026.0</v>
      </c>
      <c r="M31" s="119" t="s">
        <v>159</v>
      </c>
      <c r="N31" s="120" t="s">
        <v>255</v>
      </c>
      <c r="O31" s="123" t="str">
        <f>IF(ISBLANK(A31), "", IF(AND(LOWER(TRIM(K31))=LOWER(TRIM(PANEL!$L$2)), L31=PANEL!$I$2), MAX($O$4:O30)+1, ""))</f>
        <v/>
      </c>
      <c r="P31" s="125" t="str">
        <f t="shared" si="1"/>
        <v>Q1</v>
      </c>
    </row>
    <row r="32" ht="21.75" customHeight="1">
      <c r="A32" s="109" t="s">
        <v>256</v>
      </c>
      <c r="B32" s="110">
        <v>46295.0</v>
      </c>
      <c r="C32" s="111" t="s">
        <v>257</v>
      </c>
      <c r="D32" s="111" t="s">
        <v>138</v>
      </c>
      <c r="E32" s="124" t="s">
        <v>258</v>
      </c>
      <c r="F32" s="124" t="s">
        <v>259</v>
      </c>
      <c r="G32" s="124" t="s">
        <v>260</v>
      </c>
      <c r="H32" s="113">
        <v>8500.0</v>
      </c>
      <c r="I32" s="111" t="s">
        <v>261</v>
      </c>
      <c r="J32" s="111" t="s">
        <v>262</v>
      </c>
      <c r="K32" s="111" t="s">
        <v>175</v>
      </c>
      <c r="L32" s="115">
        <v>2026.0</v>
      </c>
      <c r="M32" s="111" t="s">
        <v>159</v>
      </c>
      <c r="N32" s="124"/>
      <c r="O32" s="116" t="str">
        <f>IF(ISBLANK(A32), "", IF(AND(LOWER(TRIM(K32))=LOWER(TRIM(PANEL!$L$2)), L32=PANEL!$I$2), MAX($O$4:O31)+1, ""))</f>
        <v/>
      </c>
      <c r="P32" s="100" t="str">
        <f t="shared" si="1"/>
        <v>Q2</v>
      </c>
    </row>
    <row r="33" ht="21.75" customHeight="1">
      <c r="A33" s="117" t="s">
        <v>263</v>
      </c>
      <c r="B33" s="118">
        <v>46293.0</v>
      </c>
      <c r="C33" s="119" t="s">
        <v>264</v>
      </c>
      <c r="D33" s="119" t="s">
        <v>138</v>
      </c>
      <c r="E33" s="120" t="s">
        <v>56</v>
      </c>
      <c r="F33" s="120" t="s">
        <v>168</v>
      </c>
      <c r="G33" s="120" t="s">
        <v>265</v>
      </c>
      <c r="H33" s="121">
        <v>13200.0</v>
      </c>
      <c r="I33" s="119" t="s">
        <v>261</v>
      </c>
      <c r="J33" s="119" t="s">
        <v>262</v>
      </c>
      <c r="K33" s="119" t="s">
        <v>175</v>
      </c>
      <c r="L33" s="122">
        <v>2026.0</v>
      </c>
      <c r="M33" s="119" t="s">
        <v>159</v>
      </c>
      <c r="N33" s="120"/>
      <c r="O33" s="123" t="str">
        <f>IF(ISBLANK(A33), "", IF(AND(LOWER(TRIM(K33))=LOWER(TRIM(PANEL!$L$2)), L33=PANEL!$I$2), MAX($O$4:O32)+1, ""))</f>
        <v/>
      </c>
      <c r="P33" s="101" t="str">
        <f t="shared" si="1"/>
        <v>Q2</v>
      </c>
    </row>
    <row r="34" ht="21.75" customHeight="1">
      <c r="A34" s="109" t="s">
        <v>266</v>
      </c>
      <c r="B34" s="110">
        <v>46293.0</v>
      </c>
      <c r="C34" s="111" t="s">
        <v>267</v>
      </c>
      <c r="D34" s="111" t="s">
        <v>138</v>
      </c>
      <c r="E34" s="124" t="s">
        <v>258</v>
      </c>
      <c r="F34" s="124" t="s">
        <v>168</v>
      </c>
      <c r="G34" s="124" t="s">
        <v>268</v>
      </c>
      <c r="H34" s="113">
        <v>8500.0</v>
      </c>
      <c r="I34" s="111" t="s">
        <v>261</v>
      </c>
      <c r="J34" s="111" t="s">
        <v>262</v>
      </c>
      <c r="K34" s="111" t="s">
        <v>175</v>
      </c>
      <c r="L34" s="115">
        <v>2026.0</v>
      </c>
      <c r="M34" s="111" t="s">
        <v>159</v>
      </c>
      <c r="N34" s="124"/>
      <c r="O34" s="116" t="str">
        <f>IF(ISBLANK(A34), "", IF(AND(LOWER(TRIM(K34))=LOWER(TRIM(PANEL!$L$2)), L34=PANEL!$I$2), MAX($O$4:O33)+1, ""))</f>
        <v/>
      </c>
      <c r="P34" s="100" t="str">
        <f t="shared" si="1"/>
        <v>Q2</v>
      </c>
    </row>
    <row r="35" ht="21.75" customHeight="1">
      <c r="A35" s="117" t="s">
        <v>269</v>
      </c>
      <c r="B35" s="118">
        <v>46291.0</v>
      </c>
      <c r="C35" s="119" t="s">
        <v>270</v>
      </c>
      <c r="D35" s="119" t="s">
        <v>138</v>
      </c>
      <c r="E35" s="120" t="s">
        <v>271</v>
      </c>
      <c r="F35" s="120" t="s">
        <v>168</v>
      </c>
      <c r="G35" s="120" t="s">
        <v>272</v>
      </c>
      <c r="H35" s="121">
        <v>80000.0</v>
      </c>
      <c r="I35" s="119" t="s">
        <v>261</v>
      </c>
      <c r="J35" s="119" t="s">
        <v>262</v>
      </c>
      <c r="K35" s="119" t="s">
        <v>175</v>
      </c>
      <c r="L35" s="122">
        <v>2026.0</v>
      </c>
      <c r="M35" s="119" t="s">
        <v>159</v>
      </c>
      <c r="N35" s="120"/>
      <c r="O35" s="123" t="str">
        <f>IF(ISBLANK(A35), "", IF(AND(LOWER(TRIM(K35))=LOWER(TRIM(PANEL!$L$2)), L35=PANEL!$I$2), MAX($O$4:O34)+1, ""))</f>
        <v/>
      </c>
      <c r="P35" s="101" t="str">
        <f t="shared" si="1"/>
        <v>Q2</v>
      </c>
    </row>
    <row r="36" ht="21.75" customHeight="1">
      <c r="A36" s="109" t="s">
        <v>273</v>
      </c>
      <c r="B36" s="110">
        <v>46290.0</v>
      </c>
      <c r="C36" s="111" t="s">
        <v>274</v>
      </c>
      <c r="D36" s="111" t="s">
        <v>138</v>
      </c>
      <c r="E36" s="124" t="s">
        <v>271</v>
      </c>
      <c r="F36" s="124" t="s">
        <v>168</v>
      </c>
      <c r="G36" s="124" t="s">
        <v>275</v>
      </c>
      <c r="H36" s="113">
        <v>22000.0</v>
      </c>
      <c r="I36" s="111" t="s">
        <v>261</v>
      </c>
      <c r="J36" s="111" t="s">
        <v>262</v>
      </c>
      <c r="K36" s="111" t="s">
        <v>175</v>
      </c>
      <c r="L36" s="115">
        <v>2026.0</v>
      </c>
      <c r="M36" s="111" t="s">
        <v>159</v>
      </c>
      <c r="N36" s="124"/>
      <c r="O36" s="116" t="str">
        <f>IF(ISBLANK(A36), "", IF(AND(LOWER(TRIM(K36))=LOWER(TRIM(PANEL!$L$2)), L36=PANEL!$I$2), MAX($O$4:O35)+1, ""))</f>
        <v/>
      </c>
      <c r="P36" s="100" t="str">
        <f t="shared" si="1"/>
        <v>Q2</v>
      </c>
    </row>
    <row r="37" ht="21.75" customHeight="1">
      <c r="A37" s="117" t="s">
        <v>276</v>
      </c>
      <c r="B37" s="118">
        <v>46290.0</v>
      </c>
      <c r="C37" s="119" t="s">
        <v>277</v>
      </c>
      <c r="D37" s="119" t="s">
        <v>138</v>
      </c>
      <c r="E37" s="120" t="s">
        <v>271</v>
      </c>
      <c r="F37" s="120" t="s">
        <v>168</v>
      </c>
      <c r="G37" s="120" t="s">
        <v>278</v>
      </c>
      <c r="H37" s="121">
        <v>8000.0</v>
      </c>
      <c r="I37" s="119" t="s">
        <v>261</v>
      </c>
      <c r="J37" s="119" t="s">
        <v>262</v>
      </c>
      <c r="K37" s="119" t="s">
        <v>175</v>
      </c>
      <c r="L37" s="122">
        <v>2026.0</v>
      </c>
      <c r="M37" s="119" t="s">
        <v>159</v>
      </c>
      <c r="N37" s="120"/>
      <c r="O37" s="123" t="str">
        <f>IF(ISBLANK(A37), "", IF(AND(LOWER(TRIM(K37))=LOWER(TRIM(PANEL!$L$2)), L37=PANEL!$I$2), MAX($O$4:O36)+1, ""))</f>
        <v/>
      </c>
      <c r="P37" s="101" t="str">
        <f t="shared" si="1"/>
        <v>Q2</v>
      </c>
    </row>
    <row r="38" ht="21.75" customHeight="1">
      <c r="A38" s="109" t="s">
        <v>279</v>
      </c>
      <c r="B38" s="110">
        <v>46290.0</v>
      </c>
      <c r="C38" s="111" t="s">
        <v>277</v>
      </c>
      <c r="D38" s="111" t="s">
        <v>138</v>
      </c>
      <c r="E38" s="124" t="s">
        <v>155</v>
      </c>
      <c r="F38" s="124" t="s">
        <v>168</v>
      </c>
      <c r="G38" s="124" t="s">
        <v>280</v>
      </c>
      <c r="H38" s="113">
        <v>8000.0</v>
      </c>
      <c r="I38" s="111" t="s">
        <v>261</v>
      </c>
      <c r="J38" s="111" t="s">
        <v>262</v>
      </c>
      <c r="K38" s="111" t="s">
        <v>175</v>
      </c>
      <c r="L38" s="115">
        <v>2026.0</v>
      </c>
      <c r="M38" s="111" t="s">
        <v>159</v>
      </c>
      <c r="N38" s="124"/>
      <c r="O38" s="116" t="str">
        <f>IF(ISBLANK(A38), "", IF(AND(LOWER(TRIM(K38))=LOWER(TRIM(PANEL!$L$2)), L38=PANEL!$I$2), MAX($O$4:O37)+1, ""))</f>
        <v/>
      </c>
      <c r="P38" s="100" t="str">
        <f t="shared" si="1"/>
        <v>Q2</v>
      </c>
    </row>
    <row r="39" ht="21.75" customHeight="1">
      <c r="A39" s="117" t="s">
        <v>281</v>
      </c>
      <c r="B39" s="118">
        <v>46289.0</v>
      </c>
      <c r="C39" s="119" t="s">
        <v>282</v>
      </c>
      <c r="D39" s="119" t="s">
        <v>138</v>
      </c>
      <c r="E39" s="120" t="s">
        <v>155</v>
      </c>
      <c r="F39" s="120" t="s">
        <v>168</v>
      </c>
      <c r="G39" s="120" t="s">
        <v>283</v>
      </c>
      <c r="H39" s="121">
        <v>90000.0</v>
      </c>
      <c r="I39" s="119" t="s">
        <v>261</v>
      </c>
      <c r="J39" s="119" t="s">
        <v>262</v>
      </c>
      <c r="K39" s="119" t="s">
        <v>175</v>
      </c>
      <c r="L39" s="122">
        <v>2026.0</v>
      </c>
      <c r="M39" s="119" t="s">
        <v>159</v>
      </c>
      <c r="N39" s="120"/>
      <c r="O39" s="123" t="str">
        <f>IF(ISBLANK(A39), "", IF(AND(LOWER(TRIM(K39))=LOWER(TRIM(PANEL!$L$2)), L39=PANEL!$I$2), MAX($O$4:O38)+1, ""))</f>
        <v/>
      </c>
      <c r="P39" s="101" t="str">
        <f t="shared" si="1"/>
        <v>Q2</v>
      </c>
    </row>
    <row r="40" ht="21.75" customHeight="1">
      <c r="A40" s="109" t="s">
        <v>284</v>
      </c>
      <c r="B40" s="110">
        <v>46288.0</v>
      </c>
      <c r="C40" s="111" t="s">
        <v>285</v>
      </c>
      <c r="D40" s="111" t="s">
        <v>138</v>
      </c>
      <c r="E40" s="124" t="s">
        <v>155</v>
      </c>
      <c r="F40" s="124" t="s">
        <v>168</v>
      </c>
      <c r="G40" s="124" t="s">
        <v>286</v>
      </c>
      <c r="H40" s="113">
        <v>31000.0</v>
      </c>
      <c r="I40" s="111" t="s">
        <v>261</v>
      </c>
      <c r="J40" s="111" t="s">
        <v>262</v>
      </c>
      <c r="K40" s="111" t="s">
        <v>175</v>
      </c>
      <c r="L40" s="115">
        <v>2026.0</v>
      </c>
      <c r="M40" s="111" t="s">
        <v>159</v>
      </c>
      <c r="N40" s="124"/>
      <c r="O40" s="116" t="str">
        <f>IF(ISBLANK(A40), "", IF(AND(LOWER(TRIM(K40))=LOWER(TRIM(PANEL!$L$2)), L40=PANEL!$I$2), MAX($O$4:O39)+1, ""))</f>
        <v/>
      </c>
      <c r="P40" s="100" t="str">
        <f t="shared" si="1"/>
        <v>Q2</v>
      </c>
    </row>
    <row r="41" ht="21.75" customHeight="1">
      <c r="A41" s="117" t="s">
        <v>287</v>
      </c>
      <c r="B41" s="118">
        <v>46288.0</v>
      </c>
      <c r="C41" s="119" t="s">
        <v>288</v>
      </c>
      <c r="D41" s="119" t="s">
        <v>138</v>
      </c>
      <c r="E41" s="120" t="s">
        <v>48</v>
      </c>
      <c r="F41" s="120" t="s">
        <v>289</v>
      </c>
      <c r="G41" s="120" t="s">
        <v>290</v>
      </c>
      <c r="H41" s="121">
        <v>11950.0</v>
      </c>
      <c r="I41" s="119" t="s">
        <v>158</v>
      </c>
      <c r="J41" s="119" t="s">
        <v>291</v>
      </c>
      <c r="K41" s="119" t="s">
        <v>175</v>
      </c>
      <c r="L41" s="122">
        <v>2026.0</v>
      </c>
      <c r="M41" s="119" t="s">
        <v>144</v>
      </c>
      <c r="N41" s="120" t="s">
        <v>292</v>
      </c>
      <c r="O41" s="123" t="str">
        <f>IF(ISBLANK(A41), "", IF(AND(LOWER(TRIM(K41))=LOWER(TRIM(PANEL!$L$2)), L41=PANEL!$I$2), MAX($O$4:O40)+1, ""))</f>
        <v/>
      </c>
      <c r="P41" s="101" t="str">
        <f t="shared" si="1"/>
        <v>Q2</v>
      </c>
    </row>
    <row r="42" ht="21.75" customHeight="1">
      <c r="A42" s="109" t="s">
        <v>293</v>
      </c>
      <c r="B42" s="110">
        <v>46286.0</v>
      </c>
      <c r="C42" s="111" t="s">
        <v>294</v>
      </c>
      <c r="D42" s="111" t="s">
        <v>138</v>
      </c>
      <c r="E42" s="124" t="s">
        <v>258</v>
      </c>
      <c r="F42" s="124" t="s">
        <v>140</v>
      </c>
      <c r="G42" s="124" t="s">
        <v>295</v>
      </c>
      <c r="H42" s="113">
        <v>8500.0</v>
      </c>
      <c r="I42" s="111" t="s">
        <v>261</v>
      </c>
      <c r="J42" s="111" t="s">
        <v>262</v>
      </c>
      <c r="K42" s="111" t="s">
        <v>175</v>
      </c>
      <c r="L42" s="115">
        <v>2026.0</v>
      </c>
      <c r="M42" s="111" t="s">
        <v>159</v>
      </c>
      <c r="N42" s="124" t="s">
        <v>296</v>
      </c>
      <c r="O42" s="116" t="str">
        <f>IF(ISBLANK(A42), "", IF(AND(LOWER(TRIM(K42))=LOWER(TRIM(PANEL!$L$2)), L42=PANEL!$I$2), MAX($O$4:O41)+1, ""))</f>
        <v/>
      </c>
      <c r="P42" s="100" t="str">
        <f t="shared" si="1"/>
        <v>Q2</v>
      </c>
    </row>
    <row r="43" ht="21.75" customHeight="1">
      <c r="A43" s="117" t="s">
        <v>297</v>
      </c>
      <c r="B43" s="118">
        <v>46286.0</v>
      </c>
      <c r="C43" s="119" t="s">
        <v>298</v>
      </c>
      <c r="D43" s="119" t="s">
        <v>138</v>
      </c>
      <c r="E43" s="120" t="s">
        <v>48</v>
      </c>
      <c r="F43" s="120" t="s">
        <v>289</v>
      </c>
      <c r="G43" s="120" t="s">
        <v>299</v>
      </c>
      <c r="H43" s="121">
        <v>11998.0</v>
      </c>
      <c r="I43" s="119" t="s">
        <v>158</v>
      </c>
      <c r="J43" s="119" t="s">
        <v>291</v>
      </c>
      <c r="K43" s="119" t="s">
        <v>175</v>
      </c>
      <c r="L43" s="122">
        <v>2026.0</v>
      </c>
      <c r="M43" s="119" t="s">
        <v>144</v>
      </c>
      <c r="N43" s="120" t="s">
        <v>300</v>
      </c>
      <c r="O43" s="123" t="str">
        <f>IF(ISBLANK(A43), "", IF(AND(LOWER(TRIM(K43))=LOWER(TRIM(PANEL!$L$2)), L43=PANEL!$I$2), MAX($O$4:O42)+1, ""))</f>
        <v/>
      </c>
      <c r="P43" s="101" t="str">
        <f t="shared" si="1"/>
        <v>Q2</v>
      </c>
    </row>
    <row r="44" ht="21.75" customHeight="1">
      <c r="A44" s="109" t="s">
        <v>301</v>
      </c>
      <c r="B44" s="110">
        <v>46285.0</v>
      </c>
      <c r="C44" s="111" t="s">
        <v>302</v>
      </c>
      <c r="D44" s="111" t="s">
        <v>138</v>
      </c>
      <c r="E44" s="124" t="s">
        <v>179</v>
      </c>
      <c r="F44" s="124" t="s">
        <v>140</v>
      </c>
      <c r="G44" s="124" t="s">
        <v>303</v>
      </c>
      <c r="H44" s="113">
        <v>20000.0</v>
      </c>
      <c r="I44" s="111" t="s">
        <v>261</v>
      </c>
      <c r="J44" s="111" t="s">
        <v>262</v>
      </c>
      <c r="K44" s="111" t="s">
        <v>175</v>
      </c>
      <c r="L44" s="115">
        <v>2026.0</v>
      </c>
      <c r="M44" s="111" t="s">
        <v>159</v>
      </c>
      <c r="N44" s="124" t="s">
        <v>304</v>
      </c>
      <c r="O44" s="116" t="str">
        <f>IF(ISBLANK(A44), "", IF(AND(LOWER(TRIM(K44))=LOWER(TRIM(PANEL!$L$2)), L44=PANEL!$I$2), MAX($O$4:O43)+1, ""))</f>
        <v/>
      </c>
      <c r="P44" s="100" t="str">
        <f t="shared" si="1"/>
        <v>Q2</v>
      </c>
    </row>
    <row r="45" ht="21.75" customHeight="1">
      <c r="A45" s="117" t="s">
        <v>305</v>
      </c>
      <c r="B45" s="118">
        <v>46285.0</v>
      </c>
      <c r="C45" s="119" t="s">
        <v>306</v>
      </c>
      <c r="D45" s="119" t="s">
        <v>138</v>
      </c>
      <c r="E45" s="120" t="s">
        <v>179</v>
      </c>
      <c r="F45" s="120" t="s">
        <v>140</v>
      </c>
      <c r="G45" s="120" t="s">
        <v>307</v>
      </c>
      <c r="H45" s="121">
        <v>120000.0</v>
      </c>
      <c r="I45" s="119" t="s">
        <v>261</v>
      </c>
      <c r="J45" s="119" t="s">
        <v>262</v>
      </c>
      <c r="K45" s="119" t="s">
        <v>175</v>
      </c>
      <c r="L45" s="122">
        <v>2026.0</v>
      </c>
      <c r="M45" s="119" t="s">
        <v>159</v>
      </c>
      <c r="N45" s="120" t="s">
        <v>308</v>
      </c>
      <c r="O45" s="123" t="str">
        <f>IF(ISBLANK(A45), "", IF(AND(LOWER(TRIM(K45))=LOWER(TRIM(PANEL!$L$2)), L45=PANEL!$I$2), MAX($O$4:O44)+1, ""))</f>
        <v/>
      </c>
      <c r="P45" s="101" t="str">
        <f t="shared" si="1"/>
        <v>Q2</v>
      </c>
    </row>
    <row r="46" ht="21.75" customHeight="1">
      <c r="A46" s="109" t="s">
        <v>309</v>
      </c>
      <c r="B46" s="110" t="s">
        <v>310</v>
      </c>
      <c r="C46" s="111" t="s">
        <v>311</v>
      </c>
      <c r="D46" s="111" t="s">
        <v>138</v>
      </c>
      <c r="E46" s="124" t="s">
        <v>48</v>
      </c>
      <c r="F46" s="124" t="s">
        <v>289</v>
      </c>
      <c r="G46" s="124" t="s">
        <v>312</v>
      </c>
      <c r="H46" s="113">
        <v>12116.0</v>
      </c>
      <c r="I46" s="111" t="s">
        <v>313</v>
      </c>
      <c r="J46" s="111" t="s">
        <v>143</v>
      </c>
      <c r="K46" s="111" t="s">
        <v>175</v>
      </c>
      <c r="L46" s="115">
        <v>2026.0</v>
      </c>
      <c r="M46" s="111" t="s">
        <v>144</v>
      </c>
      <c r="N46" s="124"/>
      <c r="O46" s="116" t="str">
        <f>IF(ISBLANK(A46), "", IF(AND(LOWER(TRIM(K46))=LOWER(TRIM(PANEL!$L$2)), L46=PANEL!$I$2), MAX($O$4:O45)+1, ""))</f>
        <v/>
      </c>
      <c r="P46" s="100" t="str">
        <f t="shared" si="1"/>
        <v>Q2</v>
      </c>
    </row>
    <row r="47" ht="21.75" customHeight="1">
      <c r="A47" s="117" t="s">
        <v>314</v>
      </c>
      <c r="B47" s="118" t="s">
        <v>315</v>
      </c>
      <c r="C47" s="119" t="s">
        <v>316</v>
      </c>
      <c r="D47" s="119" t="s">
        <v>138</v>
      </c>
      <c r="E47" s="120" t="s">
        <v>62</v>
      </c>
      <c r="F47" s="120" t="s">
        <v>168</v>
      </c>
      <c r="G47" s="120" t="s">
        <v>317</v>
      </c>
      <c r="H47" s="121">
        <v>70000.0</v>
      </c>
      <c r="I47" s="119" t="s">
        <v>261</v>
      </c>
      <c r="J47" s="119" t="s">
        <v>262</v>
      </c>
      <c r="K47" s="119" t="s">
        <v>175</v>
      </c>
      <c r="L47" s="122">
        <v>2026.0</v>
      </c>
      <c r="M47" s="119" t="s">
        <v>159</v>
      </c>
      <c r="N47" s="120"/>
      <c r="O47" s="123" t="str">
        <f>IF(ISBLANK(A47), "", IF(AND(LOWER(TRIM(K47))=LOWER(TRIM(PANEL!$L$2)), L47=PANEL!$I$2), MAX($O$4:O46)+1, ""))</f>
        <v/>
      </c>
      <c r="P47" s="101" t="str">
        <f t="shared" si="1"/>
        <v>Q2</v>
      </c>
    </row>
    <row r="48" ht="21.75" customHeight="1">
      <c r="A48" s="109" t="s">
        <v>318</v>
      </c>
      <c r="B48" s="110" t="s">
        <v>319</v>
      </c>
      <c r="C48" s="111" t="s">
        <v>320</v>
      </c>
      <c r="D48" s="111" t="s">
        <v>138</v>
      </c>
      <c r="E48" s="124" t="s">
        <v>48</v>
      </c>
      <c r="F48" s="124" t="s">
        <v>321</v>
      </c>
      <c r="G48" s="124" t="s">
        <v>322</v>
      </c>
      <c r="H48" s="113">
        <v>60000.0</v>
      </c>
      <c r="I48" s="111" t="s">
        <v>323</v>
      </c>
      <c r="J48" s="111" t="s">
        <v>323</v>
      </c>
      <c r="K48" s="111" t="s">
        <v>175</v>
      </c>
      <c r="L48" s="115">
        <v>2026.0</v>
      </c>
      <c r="M48" s="111" t="s">
        <v>144</v>
      </c>
      <c r="N48" s="124"/>
      <c r="O48" s="116" t="str">
        <f>IF(ISBLANK(A48), "", IF(AND(LOWER(TRIM(K48))=LOWER(TRIM(PANEL!$L$2)), L48=PANEL!$I$2), MAX($O$4:O47)+1, ""))</f>
        <v/>
      </c>
      <c r="P48" s="100" t="str">
        <f t="shared" si="1"/>
        <v>Q1</v>
      </c>
    </row>
    <row r="49" ht="21.75" customHeight="1">
      <c r="A49" s="117" t="s">
        <v>324</v>
      </c>
      <c r="B49" s="118" t="s">
        <v>319</v>
      </c>
      <c r="C49" s="119" t="s">
        <v>325</v>
      </c>
      <c r="D49" s="119" t="s">
        <v>191</v>
      </c>
      <c r="E49" s="120" t="s">
        <v>192</v>
      </c>
      <c r="F49" s="120" t="s">
        <v>193</v>
      </c>
      <c r="G49" s="120" t="s">
        <v>326</v>
      </c>
      <c r="H49" s="121">
        <v>1702727.0</v>
      </c>
      <c r="I49" s="119" t="s">
        <v>195</v>
      </c>
      <c r="J49" s="119" t="s">
        <v>151</v>
      </c>
      <c r="K49" s="119" t="s">
        <v>175</v>
      </c>
      <c r="L49" s="122">
        <v>2026.0</v>
      </c>
      <c r="M49" s="119" t="s">
        <v>327</v>
      </c>
      <c r="N49" s="120"/>
      <c r="O49" s="123" t="str">
        <f>IF(ISBLANK(A49), "", IF(AND(LOWER(TRIM(K49))=LOWER(TRIM(PANEL!$L$2)), L49=PANEL!$I$2), MAX($O$4:O48)+1, ""))</f>
        <v/>
      </c>
      <c r="P49" s="101" t="str">
        <f t="shared" si="1"/>
        <v>Q1</v>
      </c>
    </row>
    <row r="50" ht="21.75" customHeight="1">
      <c r="A50" s="109" t="s">
        <v>328</v>
      </c>
      <c r="B50" s="110" t="s">
        <v>319</v>
      </c>
      <c r="C50" s="111" t="s">
        <v>329</v>
      </c>
      <c r="D50" s="111" t="s">
        <v>138</v>
      </c>
      <c r="E50" s="124" t="s">
        <v>155</v>
      </c>
      <c r="F50" s="124" t="s">
        <v>140</v>
      </c>
      <c r="G50" s="124" t="s">
        <v>330</v>
      </c>
      <c r="H50" s="113">
        <v>8500.0</v>
      </c>
      <c r="I50" s="111" t="s">
        <v>261</v>
      </c>
      <c r="J50" s="111" t="s">
        <v>262</v>
      </c>
      <c r="K50" s="111" t="s">
        <v>175</v>
      </c>
      <c r="L50" s="115">
        <v>2026.0</v>
      </c>
      <c r="M50" s="111" t="s">
        <v>159</v>
      </c>
      <c r="N50" s="124"/>
      <c r="O50" s="116" t="str">
        <f>IF(ISBLANK(A50), "", IF(AND(LOWER(TRIM(K50))=LOWER(TRIM(PANEL!$L$2)), L50=PANEL!$I$2), MAX($O$4:O49)+1, ""))</f>
        <v/>
      </c>
      <c r="P50" s="100" t="str">
        <f t="shared" si="1"/>
        <v>Q1</v>
      </c>
    </row>
    <row r="51" ht="21.75" customHeight="1">
      <c r="A51" s="117" t="s">
        <v>331</v>
      </c>
      <c r="B51" s="118" t="s">
        <v>319</v>
      </c>
      <c r="C51" s="119" t="s">
        <v>332</v>
      </c>
      <c r="D51" s="119" t="s">
        <v>138</v>
      </c>
      <c r="E51" s="120" t="s">
        <v>139</v>
      </c>
      <c r="F51" s="120" t="s">
        <v>140</v>
      </c>
      <c r="G51" s="120" t="s">
        <v>333</v>
      </c>
      <c r="H51" s="121">
        <v>10000.0</v>
      </c>
      <c r="I51" s="119" t="s">
        <v>261</v>
      </c>
      <c r="J51" s="119" t="s">
        <v>262</v>
      </c>
      <c r="K51" s="119" t="s">
        <v>175</v>
      </c>
      <c r="L51" s="122">
        <v>2026.0</v>
      </c>
      <c r="M51" s="119" t="s">
        <v>159</v>
      </c>
      <c r="N51" s="120"/>
      <c r="O51" s="123" t="str">
        <f>IF(ISBLANK(A51), "", IF(AND(LOWER(TRIM(K51))=LOWER(TRIM(PANEL!$L$2)), L51=PANEL!$I$2), MAX($O$4:O50)+1, ""))</f>
        <v/>
      </c>
      <c r="P51" s="101" t="str">
        <f t="shared" si="1"/>
        <v>Q1</v>
      </c>
    </row>
    <row r="52" ht="21.75" customHeight="1">
      <c r="A52" s="109" t="s">
        <v>334</v>
      </c>
      <c r="B52" s="110" t="s">
        <v>335</v>
      </c>
      <c r="C52" s="111" t="s">
        <v>336</v>
      </c>
      <c r="D52" s="111" t="s">
        <v>138</v>
      </c>
      <c r="E52" s="124" t="s">
        <v>62</v>
      </c>
      <c r="F52" s="124" t="s">
        <v>337</v>
      </c>
      <c r="G52" s="124" t="s">
        <v>338</v>
      </c>
      <c r="H52" s="113">
        <v>5643.0</v>
      </c>
      <c r="I52" s="111" t="s">
        <v>158</v>
      </c>
      <c r="J52" s="111" t="s">
        <v>143</v>
      </c>
      <c r="K52" s="111" t="s">
        <v>175</v>
      </c>
      <c r="L52" s="115">
        <v>2026.0</v>
      </c>
      <c r="M52" s="111" t="s">
        <v>144</v>
      </c>
      <c r="N52" s="124"/>
      <c r="O52" s="116" t="str">
        <f>IF(ISBLANK(A52), "", IF(AND(LOWER(TRIM(K52))=LOWER(TRIM(PANEL!$L$2)), L52=PANEL!$I$2), MAX($O$4:O51)+1, ""))</f>
        <v/>
      </c>
      <c r="P52" s="100" t="str">
        <f t="shared" si="1"/>
        <v>Q1</v>
      </c>
    </row>
    <row r="53" ht="21.75" customHeight="1">
      <c r="A53" s="117" t="s">
        <v>339</v>
      </c>
      <c r="B53" s="118" t="s">
        <v>335</v>
      </c>
      <c r="C53" s="119" t="s">
        <v>340</v>
      </c>
      <c r="D53" s="119" t="s">
        <v>138</v>
      </c>
      <c r="E53" s="120" t="s">
        <v>48</v>
      </c>
      <c r="F53" s="120" t="s">
        <v>168</v>
      </c>
      <c r="G53" s="120" t="s">
        <v>341</v>
      </c>
      <c r="H53" s="121">
        <v>50000.0</v>
      </c>
      <c r="I53" s="119" t="s">
        <v>261</v>
      </c>
      <c r="J53" s="119" t="s">
        <v>262</v>
      </c>
      <c r="K53" s="119" t="s">
        <v>175</v>
      </c>
      <c r="L53" s="122">
        <v>2026.0</v>
      </c>
      <c r="M53" s="119" t="s">
        <v>159</v>
      </c>
      <c r="N53" s="120"/>
      <c r="O53" s="123" t="str">
        <f>IF(ISBLANK(A53), "", IF(AND(LOWER(TRIM(K53))=LOWER(TRIM(PANEL!$L$2)), L53=PANEL!$I$2), MAX($O$4:O52)+1, ""))</f>
        <v/>
      </c>
      <c r="P53" s="101" t="str">
        <f t="shared" si="1"/>
        <v>Q1</v>
      </c>
    </row>
    <row r="54" ht="21.75" customHeight="1">
      <c r="A54" s="109" t="s">
        <v>342</v>
      </c>
      <c r="B54" s="110" t="s">
        <v>335</v>
      </c>
      <c r="C54" s="111" t="s">
        <v>343</v>
      </c>
      <c r="D54" s="111" t="s">
        <v>138</v>
      </c>
      <c r="E54" s="124" t="s">
        <v>271</v>
      </c>
      <c r="F54" s="124" t="s">
        <v>168</v>
      </c>
      <c r="G54" s="124" t="s">
        <v>344</v>
      </c>
      <c r="H54" s="113">
        <v>105000.0</v>
      </c>
      <c r="I54" s="111" t="s">
        <v>261</v>
      </c>
      <c r="J54" s="111" t="s">
        <v>262</v>
      </c>
      <c r="K54" s="111" t="s">
        <v>175</v>
      </c>
      <c r="L54" s="115">
        <v>2026.0</v>
      </c>
      <c r="M54" s="111" t="s">
        <v>159</v>
      </c>
      <c r="N54" s="124"/>
      <c r="O54" s="116" t="str">
        <f>IF(ISBLANK(A54), "", IF(AND(LOWER(TRIM(K54))=LOWER(TRIM(PANEL!$L$2)), L54=PANEL!$I$2), MAX($O$4:O53)+1, ""))</f>
        <v/>
      </c>
      <c r="P54" s="100" t="str">
        <f t="shared" si="1"/>
        <v>Q1</v>
      </c>
    </row>
    <row r="55" ht="21.75" customHeight="1">
      <c r="A55" s="117" t="s">
        <v>345</v>
      </c>
      <c r="B55" s="118" t="s">
        <v>346</v>
      </c>
      <c r="C55" s="119" t="s">
        <v>347</v>
      </c>
      <c r="D55" s="119" t="s">
        <v>138</v>
      </c>
      <c r="E55" s="120" t="s">
        <v>271</v>
      </c>
      <c r="F55" s="120" t="s">
        <v>168</v>
      </c>
      <c r="G55" s="120" t="s">
        <v>348</v>
      </c>
      <c r="H55" s="121">
        <v>62000.0</v>
      </c>
      <c r="I55" s="119" t="s">
        <v>261</v>
      </c>
      <c r="J55" s="119" t="s">
        <v>262</v>
      </c>
      <c r="K55" s="119" t="s">
        <v>175</v>
      </c>
      <c r="L55" s="122">
        <v>2026.0</v>
      </c>
      <c r="M55" s="119" t="s">
        <v>159</v>
      </c>
      <c r="N55" s="120"/>
      <c r="O55" s="123" t="str">
        <f>IF(ISBLANK(A55), "", IF(AND(LOWER(TRIM(K55))=LOWER(TRIM(PANEL!$L$2)), L55=PANEL!$I$2), MAX($O$4:O54)+1, ""))</f>
        <v/>
      </c>
      <c r="P55" s="101" t="str">
        <f t="shared" si="1"/>
        <v>Q1</v>
      </c>
    </row>
    <row r="56" ht="21.75" customHeight="1">
      <c r="A56" s="109" t="s">
        <v>349</v>
      </c>
      <c r="B56" s="110" t="s">
        <v>350</v>
      </c>
      <c r="C56" s="111" t="s">
        <v>351</v>
      </c>
      <c r="D56" s="111" t="s">
        <v>138</v>
      </c>
      <c r="E56" s="124" t="s">
        <v>48</v>
      </c>
      <c r="F56" s="124" t="s">
        <v>289</v>
      </c>
      <c r="G56" s="124" t="s">
        <v>352</v>
      </c>
      <c r="H56" s="113">
        <v>13537.0</v>
      </c>
      <c r="I56" s="111" t="s">
        <v>313</v>
      </c>
      <c r="J56" s="111" t="s">
        <v>143</v>
      </c>
      <c r="K56" s="111" t="s">
        <v>175</v>
      </c>
      <c r="L56" s="115">
        <v>2026.0</v>
      </c>
      <c r="M56" s="111" t="s">
        <v>144</v>
      </c>
      <c r="N56" s="124"/>
      <c r="O56" s="116" t="str">
        <f>IF(ISBLANK(A56), "", IF(AND(LOWER(TRIM(K56))=LOWER(TRIM(PANEL!$L$2)), L56=PANEL!$I$2), MAX($O$4:O55)+1, ""))</f>
        <v/>
      </c>
      <c r="P56" s="100" t="str">
        <f t="shared" si="1"/>
        <v>Q1</v>
      </c>
    </row>
    <row r="57" ht="21.75" customHeight="1">
      <c r="A57" s="117" t="s">
        <v>353</v>
      </c>
      <c r="B57" s="118" t="s">
        <v>350</v>
      </c>
      <c r="C57" s="119" t="s">
        <v>354</v>
      </c>
      <c r="D57" s="119" t="s">
        <v>138</v>
      </c>
      <c r="E57" s="120" t="s">
        <v>155</v>
      </c>
      <c r="F57" s="120" t="s">
        <v>156</v>
      </c>
      <c r="G57" s="120" t="s">
        <v>355</v>
      </c>
      <c r="H57" s="121">
        <v>20000.0</v>
      </c>
      <c r="I57" s="119" t="s">
        <v>261</v>
      </c>
      <c r="J57" s="119" t="s">
        <v>262</v>
      </c>
      <c r="K57" s="119" t="s">
        <v>175</v>
      </c>
      <c r="L57" s="122">
        <v>2026.0</v>
      </c>
      <c r="M57" s="119" t="s">
        <v>159</v>
      </c>
      <c r="N57" s="120"/>
      <c r="O57" s="123" t="str">
        <f>IF(ISBLANK(A57), "", IF(AND(LOWER(TRIM(K57))=LOWER(TRIM(PANEL!$L$2)), L57=PANEL!$I$2), MAX($O$4:O56)+1, ""))</f>
        <v/>
      </c>
      <c r="P57" s="101" t="str">
        <f t="shared" si="1"/>
        <v>Q1</v>
      </c>
    </row>
    <row r="58" ht="21.75" customHeight="1">
      <c r="A58" s="109" t="s">
        <v>356</v>
      </c>
      <c r="B58" s="110" t="s">
        <v>350</v>
      </c>
      <c r="C58" s="111" t="s">
        <v>357</v>
      </c>
      <c r="D58" s="111" t="s">
        <v>138</v>
      </c>
      <c r="E58" s="124" t="s">
        <v>155</v>
      </c>
      <c r="F58" s="124" t="s">
        <v>168</v>
      </c>
      <c r="G58" s="124" t="s">
        <v>358</v>
      </c>
      <c r="H58" s="113">
        <v>20000.0</v>
      </c>
      <c r="I58" s="111" t="s">
        <v>261</v>
      </c>
      <c r="J58" s="111" t="s">
        <v>262</v>
      </c>
      <c r="K58" s="111" t="s">
        <v>175</v>
      </c>
      <c r="L58" s="115">
        <v>2026.0</v>
      </c>
      <c r="M58" s="111" t="s">
        <v>159</v>
      </c>
      <c r="N58" s="124"/>
      <c r="O58" s="116" t="str">
        <f>IF(ISBLANK(A58), "", IF(AND(LOWER(TRIM(K58))=LOWER(TRIM(PANEL!$L$2)), L58=PANEL!$I$2), MAX($O$4:O57)+1, ""))</f>
        <v/>
      </c>
      <c r="P58" s="100" t="str">
        <f t="shared" si="1"/>
        <v>Q1</v>
      </c>
    </row>
    <row r="59" ht="21.75" customHeight="1">
      <c r="A59" s="117" t="s">
        <v>359</v>
      </c>
      <c r="B59" s="118" t="s">
        <v>350</v>
      </c>
      <c r="C59" s="119" t="s">
        <v>357</v>
      </c>
      <c r="D59" s="119" t="s">
        <v>138</v>
      </c>
      <c r="E59" s="120" t="s">
        <v>271</v>
      </c>
      <c r="F59" s="120" t="s">
        <v>168</v>
      </c>
      <c r="G59" s="120" t="s">
        <v>360</v>
      </c>
      <c r="H59" s="121">
        <v>68000.0</v>
      </c>
      <c r="I59" s="119" t="s">
        <v>261</v>
      </c>
      <c r="J59" s="119" t="s">
        <v>262</v>
      </c>
      <c r="K59" s="119" t="s">
        <v>175</v>
      </c>
      <c r="L59" s="122">
        <v>2026.0</v>
      </c>
      <c r="M59" s="119" t="s">
        <v>159</v>
      </c>
      <c r="N59" s="120"/>
      <c r="O59" s="123" t="str">
        <f>IF(ISBLANK(A59), "", IF(AND(LOWER(TRIM(K59))=LOWER(TRIM(PANEL!$L$2)), L59=PANEL!$I$2), MAX($O$4:O58)+1, ""))</f>
        <v/>
      </c>
      <c r="P59" s="101" t="str">
        <f t="shared" si="1"/>
        <v>Q1</v>
      </c>
    </row>
    <row r="60" ht="21.75" customHeight="1">
      <c r="A60" s="109" t="s">
        <v>361</v>
      </c>
      <c r="B60" s="110" t="s">
        <v>362</v>
      </c>
      <c r="C60" s="111" t="s">
        <v>363</v>
      </c>
      <c r="D60" s="111" t="s">
        <v>138</v>
      </c>
      <c r="E60" s="124" t="s">
        <v>48</v>
      </c>
      <c r="F60" s="124" t="s">
        <v>140</v>
      </c>
      <c r="G60" s="124" t="s">
        <v>364</v>
      </c>
      <c r="H60" s="113">
        <v>200000.0</v>
      </c>
      <c r="I60" s="111" t="s">
        <v>261</v>
      </c>
      <c r="J60" s="111" t="s">
        <v>262</v>
      </c>
      <c r="K60" s="111" t="s">
        <v>175</v>
      </c>
      <c r="L60" s="115">
        <v>2026.0</v>
      </c>
      <c r="M60" s="111" t="s">
        <v>159</v>
      </c>
      <c r="N60" s="124"/>
      <c r="O60" s="116" t="str">
        <f>IF(ISBLANK(A60), "", IF(AND(LOWER(TRIM(K60))=LOWER(TRIM(PANEL!$L$2)), L60=PANEL!$I$2), MAX($O$4:O59)+1, ""))</f>
        <v/>
      </c>
      <c r="P60" s="100" t="str">
        <f t="shared" si="1"/>
        <v>Q1</v>
      </c>
    </row>
    <row r="61" ht="21.75" customHeight="1">
      <c r="A61" s="117" t="s">
        <v>365</v>
      </c>
      <c r="B61" s="118" t="s">
        <v>362</v>
      </c>
      <c r="C61" s="119" t="s">
        <v>366</v>
      </c>
      <c r="D61" s="119" t="s">
        <v>138</v>
      </c>
      <c r="E61" s="120" t="s">
        <v>48</v>
      </c>
      <c r="F61" s="120" t="s">
        <v>367</v>
      </c>
      <c r="G61" s="120" t="s">
        <v>368</v>
      </c>
      <c r="H61" s="121">
        <v>5000.0</v>
      </c>
      <c r="I61" s="119" t="s">
        <v>261</v>
      </c>
      <c r="J61" s="119" t="s">
        <v>262</v>
      </c>
      <c r="K61" s="119" t="s">
        <v>175</v>
      </c>
      <c r="L61" s="122">
        <v>2026.0</v>
      </c>
      <c r="M61" s="119" t="s">
        <v>159</v>
      </c>
      <c r="N61" s="120"/>
      <c r="O61" s="123" t="str">
        <f>IF(ISBLANK(A61), "", IF(AND(LOWER(TRIM(K61))=LOWER(TRIM(PANEL!$L$2)), L61=PANEL!$I$2), MAX($O$4:O60)+1, ""))</f>
        <v/>
      </c>
      <c r="P61" s="101" t="str">
        <f t="shared" si="1"/>
        <v>Q1</v>
      </c>
    </row>
    <row r="62" ht="21.75" customHeight="1">
      <c r="A62" s="109" t="s">
        <v>369</v>
      </c>
      <c r="B62" s="110" t="s">
        <v>370</v>
      </c>
      <c r="C62" s="111" t="s">
        <v>371</v>
      </c>
      <c r="D62" s="111" t="s">
        <v>138</v>
      </c>
      <c r="E62" s="124" t="s">
        <v>372</v>
      </c>
      <c r="F62" s="124" t="s">
        <v>158</v>
      </c>
      <c r="G62" s="124" t="s">
        <v>373</v>
      </c>
      <c r="H62" s="113">
        <v>3000.0</v>
      </c>
      <c r="I62" s="111" t="s">
        <v>158</v>
      </c>
      <c r="J62" s="111" t="s">
        <v>143</v>
      </c>
      <c r="K62" s="111" t="s">
        <v>175</v>
      </c>
      <c r="L62" s="115">
        <v>2026.0</v>
      </c>
      <c r="M62" s="111" t="s">
        <v>144</v>
      </c>
      <c r="N62" s="124"/>
      <c r="O62" s="116" t="str">
        <f>IF(ISBLANK(A62), "", IF(AND(LOWER(TRIM(K62))=LOWER(TRIM(PANEL!$L$2)), L62=PANEL!$I$2), MAX($O$4:O61)+1, ""))</f>
        <v/>
      </c>
      <c r="P62" s="100" t="str">
        <f t="shared" si="1"/>
        <v>Q1</v>
      </c>
    </row>
    <row r="63" ht="21.75" customHeight="1">
      <c r="A63" s="117" t="s">
        <v>374</v>
      </c>
      <c r="B63" s="118" t="s">
        <v>370</v>
      </c>
      <c r="C63" s="119" t="s">
        <v>267</v>
      </c>
      <c r="D63" s="119" t="s">
        <v>138</v>
      </c>
      <c r="E63" s="120" t="s">
        <v>155</v>
      </c>
      <c r="F63" s="120" t="s">
        <v>375</v>
      </c>
      <c r="G63" s="120" t="s">
        <v>376</v>
      </c>
      <c r="H63" s="121">
        <v>20000.0</v>
      </c>
      <c r="I63" s="119" t="s">
        <v>261</v>
      </c>
      <c r="J63" s="119" t="s">
        <v>262</v>
      </c>
      <c r="K63" s="119" t="s">
        <v>175</v>
      </c>
      <c r="L63" s="122">
        <v>2026.0</v>
      </c>
      <c r="M63" s="119" t="s">
        <v>159</v>
      </c>
      <c r="N63" s="120"/>
      <c r="O63" s="123" t="str">
        <f>IF(ISBLANK(A63), "", IF(AND(LOWER(TRIM(K63))=LOWER(TRIM(PANEL!$L$2)), L63=PANEL!$I$2), MAX($O$4:O62)+1, ""))</f>
        <v/>
      </c>
      <c r="P63" s="101" t="str">
        <f t="shared" si="1"/>
        <v>Q1</v>
      </c>
    </row>
    <row r="64" ht="21.75" customHeight="1">
      <c r="A64" s="109" t="s">
        <v>377</v>
      </c>
      <c r="B64" s="110" t="s">
        <v>370</v>
      </c>
      <c r="C64" s="111" t="s">
        <v>378</v>
      </c>
      <c r="D64" s="111" t="s">
        <v>138</v>
      </c>
      <c r="E64" s="124" t="s">
        <v>48</v>
      </c>
      <c r="F64" s="124" t="s">
        <v>379</v>
      </c>
      <c r="G64" s="124" t="s">
        <v>380</v>
      </c>
      <c r="H64" s="113">
        <v>23000.0</v>
      </c>
      <c r="I64" s="111" t="s">
        <v>261</v>
      </c>
      <c r="J64" s="111" t="s">
        <v>262</v>
      </c>
      <c r="K64" s="111" t="s">
        <v>175</v>
      </c>
      <c r="L64" s="115">
        <v>2026.0</v>
      </c>
      <c r="M64" s="111" t="s">
        <v>159</v>
      </c>
      <c r="N64" s="124"/>
      <c r="O64" s="116" t="str">
        <f>IF(ISBLANK(A64), "", IF(AND(LOWER(TRIM(K64))=LOWER(TRIM(PANEL!$L$2)), L64=PANEL!$I$2), MAX($O$4:O63)+1, ""))</f>
        <v/>
      </c>
      <c r="P64" s="100" t="str">
        <f t="shared" si="1"/>
        <v>Q1</v>
      </c>
    </row>
    <row r="65" ht="21.75" customHeight="1">
      <c r="A65" s="117" t="s">
        <v>381</v>
      </c>
      <c r="B65" s="118" t="s">
        <v>382</v>
      </c>
      <c r="C65" s="119" t="s">
        <v>383</v>
      </c>
      <c r="D65" s="119" t="s">
        <v>138</v>
      </c>
      <c r="E65" s="120" t="s">
        <v>384</v>
      </c>
      <c r="F65" s="120" t="s">
        <v>158</v>
      </c>
      <c r="G65" s="120" t="s">
        <v>385</v>
      </c>
      <c r="H65" s="121">
        <v>5000.0</v>
      </c>
      <c r="I65" s="119" t="s">
        <v>158</v>
      </c>
      <c r="J65" s="119" t="s">
        <v>143</v>
      </c>
      <c r="K65" s="119" t="s">
        <v>175</v>
      </c>
      <c r="L65" s="122">
        <v>2026.0</v>
      </c>
      <c r="M65" s="119" t="s">
        <v>144</v>
      </c>
      <c r="N65" s="120"/>
      <c r="O65" s="123" t="str">
        <f>IF(ISBLANK(A65), "", IF(AND(LOWER(TRIM(K65))=LOWER(TRIM(PANEL!$L$2)), L65=PANEL!$I$2), MAX($O$4:O64)+1, ""))</f>
        <v/>
      </c>
      <c r="P65" s="101" t="str">
        <f t="shared" si="1"/>
        <v>Q1</v>
      </c>
    </row>
    <row r="66" ht="21.75" customHeight="1">
      <c r="A66" s="109" t="s">
        <v>386</v>
      </c>
      <c r="B66" s="110" t="s">
        <v>382</v>
      </c>
      <c r="C66" s="111" t="s">
        <v>387</v>
      </c>
      <c r="D66" s="111" t="s">
        <v>138</v>
      </c>
      <c r="E66" s="124" t="s">
        <v>258</v>
      </c>
      <c r="F66" s="124" t="s">
        <v>259</v>
      </c>
      <c r="G66" s="124" t="s">
        <v>388</v>
      </c>
      <c r="H66" s="113">
        <v>8500.0</v>
      </c>
      <c r="I66" s="111" t="s">
        <v>158</v>
      </c>
      <c r="J66" s="111" t="s">
        <v>143</v>
      </c>
      <c r="K66" s="111" t="s">
        <v>175</v>
      </c>
      <c r="L66" s="115">
        <v>2026.0</v>
      </c>
      <c r="M66" s="111" t="s">
        <v>144</v>
      </c>
      <c r="N66" s="124"/>
      <c r="O66" s="116" t="str">
        <f>IF(ISBLANK(A66), "", IF(AND(LOWER(TRIM(K66))=LOWER(TRIM(PANEL!$L$2)), L66=PANEL!$I$2), MAX($O$4:O65)+1, ""))</f>
        <v/>
      </c>
      <c r="P66" s="100" t="str">
        <f t="shared" si="1"/>
        <v>Q1</v>
      </c>
    </row>
    <row r="67" ht="21.75" customHeight="1">
      <c r="A67" s="117" t="s">
        <v>389</v>
      </c>
      <c r="B67" s="118" t="s">
        <v>382</v>
      </c>
      <c r="C67" s="119" t="s">
        <v>387</v>
      </c>
      <c r="D67" s="119" t="s">
        <v>138</v>
      </c>
      <c r="E67" s="120" t="s">
        <v>258</v>
      </c>
      <c r="F67" s="120" t="s">
        <v>259</v>
      </c>
      <c r="G67" s="120" t="s">
        <v>388</v>
      </c>
      <c r="H67" s="121">
        <v>8500.0</v>
      </c>
      <c r="I67" s="119" t="s">
        <v>158</v>
      </c>
      <c r="J67" s="119" t="s">
        <v>143</v>
      </c>
      <c r="K67" s="119" t="s">
        <v>175</v>
      </c>
      <c r="L67" s="122">
        <v>2026.0</v>
      </c>
      <c r="M67" s="119" t="s">
        <v>144</v>
      </c>
      <c r="N67" s="120"/>
      <c r="O67" s="123" t="str">
        <f>IF(ISBLANK(A67), "", IF(AND(LOWER(TRIM(K67))=LOWER(TRIM(PANEL!$L$2)), L67=PANEL!$I$2), MAX($O$4:O66)+1, ""))</f>
        <v/>
      </c>
      <c r="P67" s="101" t="str">
        <f t="shared" si="1"/>
        <v>Q1</v>
      </c>
    </row>
    <row r="68" ht="21.75" customHeight="1">
      <c r="A68" s="109" t="s">
        <v>390</v>
      </c>
      <c r="B68" s="110" t="s">
        <v>382</v>
      </c>
      <c r="C68" s="111" t="s">
        <v>387</v>
      </c>
      <c r="D68" s="111" t="s">
        <v>138</v>
      </c>
      <c r="E68" s="124" t="s">
        <v>258</v>
      </c>
      <c r="F68" s="124" t="s">
        <v>259</v>
      </c>
      <c r="G68" s="124" t="s">
        <v>388</v>
      </c>
      <c r="H68" s="113">
        <v>8500.0</v>
      </c>
      <c r="I68" s="111" t="s">
        <v>158</v>
      </c>
      <c r="J68" s="111" t="s">
        <v>143</v>
      </c>
      <c r="K68" s="111" t="s">
        <v>175</v>
      </c>
      <c r="L68" s="115">
        <v>2026.0</v>
      </c>
      <c r="M68" s="111" t="s">
        <v>144</v>
      </c>
      <c r="N68" s="124"/>
      <c r="O68" s="116" t="str">
        <f>IF(ISBLANK(A68), "", IF(AND(LOWER(TRIM(K68))=LOWER(TRIM(PANEL!$L$2)), L68=PANEL!$I$2), MAX($O$4:O67)+1, ""))</f>
        <v/>
      </c>
      <c r="P68" s="100" t="str">
        <f t="shared" si="1"/>
        <v>Q1</v>
      </c>
    </row>
    <row r="69" ht="21.75" customHeight="1">
      <c r="A69" s="117" t="s">
        <v>391</v>
      </c>
      <c r="B69" s="118" t="s">
        <v>382</v>
      </c>
      <c r="C69" s="119" t="s">
        <v>387</v>
      </c>
      <c r="D69" s="119" t="s">
        <v>138</v>
      </c>
      <c r="E69" s="120" t="s">
        <v>258</v>
      </c>
      <c r="F69" s="120" t="s">
        <v>259</v>
      </c>
      <c r="G69" s="120" t="s">
        <v>388</v>
      </c>
      <c r="H69" s="121">
        <v>8500.0</v>
      </c>
      <c r="I69" s="119" t="s">
        <v>158</v>
      </c>
      <c r="J69" s="119" t="s">
        <v>143</v>
      </c>
      <c r="K69" s="119" t="s">
        <v>175</v>
      </c>
      <c r="L69" s="122">
        <v>2026.0</v>
      </c>
      <c r="M69" s="119" t="s">
        <v>144</v>
      </c>
      <c r="N69" s="120"/>
      <c r="O69" s="123" t="str">
        <f>IF(ISBLANK(A69), "", IF(AND(LOWER(TRIM(K69))=LOWER(TRIM(PANEL!$L$2)), L69=PANEL!$I$2), MAX($O$4:O68)+1, ""))</f>
        <v/>
      </c>
      <c r="P69" s="101" t="str">
        <f t="shared" si="1"/>
        <v>Q1</v>
      </c>
    </row>
    <row r="70" ht="21.75" customHeight="1">
      <c r="A70" s="109" t="s">
        <v>392</v>
      </c>
      <c r="B70" s="110" t="s">
        <v>382</v>
      </c>
      <c r="C70" s="111" t="s">
        <v>387</v>
      </c>
      <c r="D70" s="111" t="s">
        <v>138</v>
      </c>
      <c r="E70" s="124" t="s">
        <v>62</v>
      </c>
      <c r="F70" s="124" t="s">
        <v>168</v>
      </c>
      <c r="G70" s="124" t="s">
        <v>393</v>
      </c>
      <c r="H70" s="113">
        <v>26100.0</v>
      </c>
      <c r="I70" s="111" t="s">
        <v>158</v>
      </c>
      <c r="J70" s="111" t="s">
        <v>143</v>
      </c>
      <c r="K70" s="111" t="s">
        <v>175</v>
      </c>
      <c r="L70" s="115">
        <v>2026.0</v>
      </c>
      <c r="M70" s="111" t="s">
        <v>144</v>
      </c>
      <c r="N70" s="124"/>
      <c r="O70" s="116" t="str">
        <f>IF(ISBLANK(A70), "", IF(AND(LOWER(TRIM(K70))=LOWER(TRIM(PANEL!$L$2)), L70=PANEL!$I$2), MAX($O$4:O69)+1, ""))</f>
        <v/>
      </c>
      <c r="P70" s="100" t="str">
        <f t="shared" si="1"/>
        <v>Q1</v>
      </c>
    </row>
    <row r="71" ht="21.75" customHeight="1">
      <c r="A71" s="117" t="s">
        <v>394</v>
      </c>
      <c r="B71" s="118" t="s">
        <v>395</v>
      </c>
      <c r="C71" s="119" t="s">
        <v>396</v>
      </c>
      <c r="D71" s="119" t="s">
        <v>138</v>
      </c>
      <c r="E71" s="120" t="s">
        <v>179</v>
      </c>
      <c r="F71" s="120" t="s">
        <v>140</v>
      </c>
      <c r="G71" s="120" t="s">
        <v>397</v>
      </c>
      <c r="H71" s="121">
        <v>20000.0</v>
      </c>
      <c r="I71" s="119" t="s">
        <v>158</v>
      </c>
      <c r="J71" s="119" t="s">
        <v>143</v>
      </c>
      <c r="K71" s="119" t="s">
        <v>247</v>
      </c>
      <c r="L71" s="122">
        <v>2026.0</v>
      </c>
      <c r="M71" s="119" t="s">
        <v>159</v>
      </c>
      <c r="N71" s="120"/>
      <c r="O71" s="123" t="str">
        <f>IF(ISBLANK(A71), "", IF(AND(LOWER(TRIM(K71))=LOWER(TRIM(PANEL!$L$2)), L71=PANEL!$I$2), MAX($O$4:O70)+1, ""))</f>
        <v/>
      </c>
      <c r="P71" s="101" t="str">
        <f t="shared" si="1"/>
        <v>Q2</v>
      </c>
    </row>
    <row r="72" ht="21.75" customHeight="1">
      <c r="A72" s="109" t="s">
        <v>398</v>
      </c>
      <c r="B72" s="110" t="s">
        <v>395</v>
      </c>
      <c r="C72" s="111" t="s">
        <v>399</v>
      </c>
      <c r="D72" s="111" t="s">
        <v>138</v>
      </c>
      <c r="E72" s="124" t="s">
        <v>179</v>
      </c>
      <c r="F72" s="124" t="s">
        <v>140</v>
      </c>
      <c r="G72" s="124" t="s">
        <v>400</v>
      </c>
      <c r="H72" s="113">
        <v>43900.0</v>
      </c>
      <c r="I72" s="111" t="s">
        <v>158</v>
      </c>
      <c r="J72" s="111" t="s">
        <v>143</v>
      </c>
      <c r="K72" s="111" t="s">
        <v>247</v>
      </c>
      <c r="L72" s="115">
        <v>2026.0</v>
      </c>
      <c r="M72" s="111" t="s">
        <v>159</v>
      </c>
      <c r="N72" s="124"/>
      <c r="O72" s="116" t="str">
        <f>IF(ISBLANK(A72), "", IF(AND(LOWER(TRIM(K72))=LOWER(TRIM(PANEL!$L$2)), L72=PANEL!$I$2), MAX($O$4:O71)+1, ""))</f>
        <v/>
      </c>
      <c r="P72" s="100" t="str">
        <f t="shared" si="1"/>
        <v>Q2</v>
      </c>
    </row>
    <row r="73" ht="21.75" customHeight="1">
      <c r="A73" s="117" t="s">
        <v>401</v>
      </c>
      <c r="B73" s="118" t="s">
        <v>395</v>
      </c>
      <c r="C73" s="119" t="s">
        <v>402</v>
      </c>
      <c r="D73" s="119" t="s">
        <v>191</v>
      </c>
      <c r="E73" s="120" t="s">
        <v>192</v>
      </c>
      <c r="F73" s="120" t="s">
        <v>193</v>
      </c>
      <c r="G73" s="120" t="s">
        <v>194</v>
      </c>
      <c r="H73" s="121">
        <v>2073355.0</v>
      </c>
      <c r="I73" s="119" t="s">
        <v>195</v>
      </c>
      <c r="J73" s="119" t="s">
        <v>291</v>
      </c>
      <c r="K73" s="119" t="s">
        <v>247</v>
      </c>
      <c r="L73" s="122">
        <v>2026.0</v>
      </c>
      <c r="M73" s="119" t="s">
        <v>159</v>
      </c>
      <c r="N73" s="120"/>
      <c r="O73" s="123" t="str">
        <f>IF(ISBLANK(A73), "", IF(AND(LOWER(TRIM(K73))=LOWER(TRIM(PANEL!$L$2)), L73=PANEL!$I$2), MAX($O$4:O72)+1, ""))</f>
        <v/>
      </c>
      <c r="P73" s="101" t="str">
        <f t="shared" si="1"/>
        <v>Q2</v>
      </c>
    </row>
    <row r="74" ht="21.75" customHeight="1">
      <c r="A74" s="109" t="s">
        <v>403</v>
      </c>
      <c r="B74" s="110" t="s">
        <v>404</v>
      </c>
      <c r="C74" s="111" t="s">
        <v>405</v>
      </c>
      <c r="D74" s="111" t="s">
        <v>138</v>
      </c>
      <c r="E74" s="124" t="s">
        <v>62</v>
      </c>
      <c r="F74" s="124" t="s">
        <v>406</v>
      </c>
      <c r="G74" s="124" t="s">
        <v>407</v>
      </c>
      <c r="H74" s="113">
        <v>90000.0</v>
      </c>
      <c r="I74" s="111" t="s">
        <v>261</v>
      </c>
      <c r="J74" s="111" t="s">
        <v>262</v>
      </c>
      <c r="K74" s="111" t="s">
        <v>247</v>
      </c>
      <c r="L74" s="115">
        <v>2026.0</v>
      </c>
      <c r="M74" s="111" t="s">
        <v>159</v>
      </c>
      <c r="N74" s="124"/>
      <c r="O74" s="116" t="str">
        <f>IF(ISBLANK(A74), "", IF(AND(LOWER(TRIM(K74))=LOWER(TRIM(PANEL!$L$2)), L74=PANEL!$I$2), MAX($O$4:O73)+1, ""))</f>
        <v/>
      </c>
      <c r="P74" s="100" t="str">
        <f t="shared" si="1"/>
        <v>Q2</v>
      </c>
    </row>
    <row r="75" ht="21.75" customHeight="1">
      <c r="A75" s="117" t="s">
        <v>408</v>
      </c>
      <c r="B75" s="118" t="s">
        <v>409</v>
      </c>
      <c r="C75" s="119" t="s">
        <v>410</v>
      </c>
      <c r="D75" s="119" t="s">
        <v>138</v>
      </c>
      <c r="E75" s="120" t="s">
        <v>155</v>
      </c>
      <c r="F75" s="120" t="s">
        <v>140</v>
      </c>
      <c r="G75" s="120" t="s">
        <v>411</v>
      </c>
      <c r="H75" s="121">
        <v>6000.0</v>
      </c>
      <c r="I75" s="119" t="s">
        <v>158</v>
      </c>
      <c r="J75" s="119" t="s">
        <v>143</v>
      </c>
      <c r="K75" s="119" t="s">
        <v>247</v>
      </c>
      <c r="L75" s="122">
        <v>2026.0</v>
      </c>
      <c r="M75" s="119" t="s">
        <v>159</v>
      </c>
      <c r="N75" s="120"/>
      <c r="O75" s="123" t="str">
        <f>IF(ISBLANK(A75), "", IF(AND(LOWER(TRIM(K75))=LOWER(TRIM(PANEL!$L$2)), L75=PANEL!$I$2), MAX($O$4:O74)+1, ""))</f>
        <v/>
      </c>
      <c r="P75" s="101" t="str">
        <f t="shared" si="1"/>
        <v>Q2</v>
      </c>
    </row>
    <row r="76" ht="21.75" customHeight="1">
      <c r="A76" s="109" t="s">
        <v>412</v>
      </c>
      <c r="B76" s="110" t="s">
        <v>409</v>
      </c>
      <c r="C76" s="111" t="s">
        <v>413</v>
      </c>
      <c r="D76" s="111" t="s">
        <v>414</v>
      </c>
      <c r="E76" s="124" t="s">
        <v>258</v>
      </c>
      <c r="F76" s="124" t="s">
        <v>415</v>
      </c>
      <c r="G76" s="124" t="s">
        <v>416</v>
      </c>
      <c r="H76" s="113">
        <v>8500.0</v>
      </c>
      <c r="I76" s="111" t="s">
        <v>261</v>
      </c>
      <c r="J76" s="111" t="s">
        <v>262</v>
      </c>
      <c r="K76" s="111" t="s">
        <v>175</v>
      </c>
      <c r="L76" s="115">
        <v>2026.0</v>
      </c>
      <c r="M76" s="111" t="s">
        <v>159</v>
      </c>
      <c r="N76" s="124"/>
      <c r="O76" s="116" t="str">
        <f>IF(ISBLANK(A76), "", IF(AND(LOWER(TRIM(K76))=LOWER(TRIM(PANEL!$L$2)), L76=PANEL!$I$2), MAX($O$4:O75)+1, ""))</f>
        <v/>
      </c>
      <c r="P76" s="100" t="str">
        <f t="shared" si="1"/>
        <v>Q2</v>
      </c>
    </row>
    <row r="77" ht="21.75" customHeight="1">
      <c r="A77" s="117" t="s">
        <v>417</v>
      </c>
      <c r="B77" s="118" t="s">
        <v>418</v>
      </c>
      <c r="C77" s="119" t="s">
        <v>419</v>
      </c>
      <c r="D77" s="119" t="s">
        <v>138</v>
      </c>
      <c r="E77" s="120" t="s">
        <v>271</v>
      </c>
      <c r="F77" s="120" t="s">
        <v>158</v>
      </c>
      <c r="G77" s="120" t="s">
        <v>420</v>
      </c>
      <c r="H77" s="121">
        <v>8000.0</v>
      </c>
      <c r="I77" s="119" t="s">
        <v>158</v>
      </c>
      <c r="J77" s="119" t="s">
        <v>143</v>
      </c>
      <c r="K77" s="119" t="s">
        <v>247</v>
      </c>
      <c r="L77" s="122">
        <v>2026.0</v>
      </c>
      <c r="M77" s="119" t="s">
        <v>144</v>
      </c>
      <c r="N77" s="120"/>
      <c r="O77" s="123" t="str">
        <f>IF(ISBLANK(A77), "", IF(AND(LOWER(TRIM(K77))=LOWER(TRIM(PANEL!$L$2)), L77=PANEL!$I$2), MAX($O$4:O76)+1, ""))</f>
        <v/>
      </c>
      <c r="P77" s="101" t="str">
        <f t="shared" si="1"/>
        <v>Q2</v>
      </c>
    </row>
    <row r="78" ht="21.75" customHeight="1">
      <c r="A78" s="109" t="s">
        <v>421</v>
      </c>
      <c r="B78" s="110" t="s">
        <v>418</v>
      </c>
      <c r="C78" s="111" t="s">
        <v>422</v>
      </c>
      <c r="D78" s="111" t="s">
        <v>138</v>
      </c>
      <c r="E78" s="124" t="s">
        <v>271</v>
      </c>
      <c r="F78" s="124" t="s">
        <v>158</v>
      </c>
      <c r="G78" s="124" t="s">
        <v>420</v>
      </c>
      <c r="H78" s="113">
        <v>8500.0</v>
      </c>
      <c r="I78" s="111" t="s">
        <v>158</v>
      </c>
      <c r="J78" s="111" t="s">
        <v>143</v>
      </c>
      <c r="K78" s="111" t="s">
        <v>247</v>
      </c>
      <c r="L78" s="115">
        <v>2026.0</v>
      </c>
      <c r="M78" s="111" t="s">
        <v>144</v>
      </c>
      <c r="N78" s="124"/>
      <c r="O78" s="116" t="str">
        <f>IF(ISBLANK(A78), "", IF(AND(LOWER(TRIM(K78))=LOWER(TRIM(PANEL!$L$2)), L78=PANEL!$I$2), MAX($O$4:O77)+1, ""))</f>
        <v/>
      </c>
      <c r="P78" s="100" t="str">
        <f t="shared" si="1"/>
        <v>Q2</v>
      </c>
    </row>
    <row r="79" ht="21.75" customHeight="1">
      <c r="A79" s="117" t="s">
        <v>423</v>
      </c>
      <c r="B79" s="118" t="s">
        <v>424</v>
      </c>
      <c r="C79" s="119" t="s">
        <v>425</v>
      </c>
      <c r="D79" s="119" t="s">
        <v>138</v>
      </c>
      <c r="E79" s="120" t="s">
        <v>271</v>
      </c>
      <c r="F79" s="120" t="s">
        <v>158</v>
      </c>
      <c r="G79" s="120" t="s">
        <v>420</v>
      </c>
      <c r="H79" s="121">
        <v>8500.0</v>
      </c>
      <c r="I79" s="119" t="s">
        <v>158</v>
      </c>
      <c r="J79" s="119" t="s">
        <v>143</v>
      </c>
      <c r="K79" s="119" t="s">
        <v>247</v>
      </c>
      <c r="L79" s="122">
        <v>2026.0</v>
      </c>
      <c r="M79" s="119" t="s">
        <v>144</v>
      </c>
      <c r="N79" s="120"/>
      <c r="O79" s="123" t="str">
        <f>IF(ISBLANK(A79), "", IF(AND(LOWER(TRIM(K79))=LOWER(TRIM(PANEL!$L$2)), L79=PANEL!$I$2), MAX($O$4:O78)+1, ""))</f>
        <v/>
      </c>
      <c r="P79" s="101" t="str">
        <f t="shared" si="1"/>
        <v>Q2</v>
      </c>
    </row>
    <row r="80" ht="21.75" customHeight="1">
      <c r="A80" s="109" t="s">
        <v>426</v>
      </c>
      <c r="B80" s="110" t="s">
        <v>427</v>
      </c>
      <c r="C80" s="111" t="s">
        <v>428</v>
      </c>
      <c r="D80" s="111" t="s">
        <v>138</v>
      </c>
      <c r="E80" s="124" t="s">
        <v>271</v>
      </c>
      <c r="F80" s="124" t="s">
        <v>158</v>
      </c>
      <c r="G80" s="124" t="s">
        <v>420</v>
      </c>
      <c r="H80" s="113">
        <v>11500.0</v>
      </c>
      <c r="I80" s="111" t="s">
        <v>158</v>
      </c>
      <c r="J80" s="111" t="s">
        <v>143</v>
      </c>
      <c r="K80" s="111" t="s">
        <v>247</v>
      </c>
      <c r="L80" s="115">
        <v>2026.0</v>
      </c>
      <c r="M80" s="111" t="s">
        <v>144</v>
      </c>
      <c r="N80" s="124"/>
      <c r="O80" s="116" t="str">
        <f>IF(ISBLANK(A80), "", IF(AND(LOWER(TRIM(K80))=LOWER(TRIM(PANEL!$L$2)), L80=PANEL!$I$2), MAX($O$4:O79)+1, ""))</f>
        <v/>
      </c>
      <c r="P80" s="100" t="str">
        <f t="shared" si="1"/>
        <v>Q2</v>
      </c>
    </row>
    <row r="81" ht="21.75" customHeight="1">
      <c r="A81" s="117" t="s">
        <v>429</v>
      </c>
      <c r="B81" s="118" t="s">
        <v>427</v>
      </c>
      <c r="C81" s="119" t="s">
        <v>430</v>
      </c>
      <c r="D81" s="119" t="s">
        <v>138</v>
      </c>
      <c r="E81" s="120" t="s">
        <v>271</v>
      </c>
      <c r="F81" s="120" t="s">
        <v>158</v>
      </c>
      <c r="G81" s="120" t="s">
        <v>420</v>
      </c>
      <c r="H81" s="121">
        <v>8500.0</v>
      </c>
      <c r="I81" s="119" t="s">
        <v>158</v>
      </c>
      <c r="J81" s="119" t="s">
        <v>143</v>
      </c>
      <c r="K81" s="119" t="s">
        <v>247</v>
      </c>
      <c r="L81" s="122">
        <v>2026.0</v>
      </c>
      <c r="M81" s="119" t="s">
        <v>144</v>
      </c>
      <c r="N81" s="120"/>
      <c r="O81" s="123" t="str">
        <f>IF(ISBLANK(A81), "", IF(AND(LOWER(TRIM(K81))=LOWER(TRIM(PANEL!$L$2)), L81=PANEL!$I$2), MAX($O$4:O80)+1, ""))</f>
        <v/>
      </c>
      <c r="P81" s="101" t="str">
        <f t="shared" si="1"/>
        <v>Q2</v>
      </c>
    </row>
    <row r="82" ht="21.75" customHeight="1">
      <c r="A82" s="109" t="s">
        <v>431</v>
      </c>
      <c r="B82" s="110" t="s">
        <v>427</v>
      </c>
      <c r="C82" s="111" t="s">
        <v>432</v>
      </c>
      <c r="D82" s="111" t="s">
        <v>138</v>
      </c>
      <c r="E82" s="124" t="s">
        <v>271</v>
      </c>
      <c r="F82" s="124" t="s">
        <v>158</v>
      </c>
      <c r="G82" s="124" t="s">
        <v>420</v>
      </c>
      <c r="H82" s="113">
        <v>16000.0</v>
      </c>
      <c r="I82" s="111" t="s">
        <v>158</v>
      </c>
      <c r="J82" s="111" t="s">
        <v>143</v>
      </c>
      <c r="K82" s="111" t="s">
        <v>247</v>
      </c>
      <c r="L82" s="115">
        <v>2026.0</v>
      </c>
      <c r="M82" s="111" t="s">
        <v>144</v>
      </c>
      <c r="N82" s="124"/>
      <c r="O82" s="116" t="str">
        <f>IF(ISBLANK(A82), "", IF(AND(LOWER(TRIM(K82))=LOWER(TRIM(PANEL!$L$2)), L82=PANEL!$I$2), MAX($O$4:O81)+1, ""))</f>
        <v/>
      </c>
      <c r="P82" s="100" t="str">
        <f t="shared" si="1"/>
        <v>Q2</v>
      </c>
    </row>
    <row r="83" ht="21.75" customHeight="1">
      <c r="A83" s="117" t="s">
        <v>433</v>
      </c>
      <c r="B83" s="118" t="s">
        <v>434</v>
      </c>
      <c r="C83" s="119" t="s">
        <v>435</v>
      </c>
      <c r="D83" s="119" t="s">
        <v>138</v>
      </c>
      <c r="E83" s="120" t="s">
        <v>155</v>
      </c>
      <c r="F83" s="120" t="s">
        <v>140</v>
      </c>
      <c r="G83" s="120" t="s">
        <v>436</v>
      </c>
      <c r="H83" s="121">
        <v>60000.0</v>
      </c>
      <c r="I83" s="119" t="s">
        <v>261</v>
      </c>
      <c r="J83" s="119" t="s">
        <v>262</v>
      </c>
      <c r="K83" s="119" t="s">
        <v>247</v>
      </c>
      <c r="L83" s="122">
        <v>2026.0</v>
      </c>
      <c r="M83" s="119" t="s">
        <v>159</v>
      </c>
      <c r="N83" s="120"/>
      <c r="O83" s="123" t="str">
        <f>IF(ISBLANK(A83), "", IF(AND(LOWER(TRIM(K83))=LOWER(TRIM(PANEL!$L$2)), L83=PANEL!$I$2), MAX($O$4:O82)+1, ""))</f>
        <v/>
      </c>
      <c r="P83" s="101" t="str">
        <f t="shared" si="1"/>
        <v>Q2</v>
      </c>
    </row>
    <row r="84" ht="21.75" customHeight="1">
      <c r="A84" s="109" t="s">
        <v>437</v>
      </c>
      <c r="B84" s="110" t="s">
        <v>434</v>
      </c>
      <c r="C84" s="111" t="s">
        <v>435</v>
      </c>
      <c r="D84" s="111" t="s">
        <v>138</v>
      </c>
      <c r="E84" s="124" t="s">
        <v>155</v>
      </c>
      <c r="F84" s="124" t="s">
        <v>140</v>
      </c>
      <c r="G84" s="124" t="s">
        <v>411</v>
      </c>
      <c r="H84" s="113">
        <v>29000.0</v>
      </c>
      <c r="I84" s="111" t="s">
        <v>261</v>
      </c>
      <c r="J84" s="111" t="s">
        <v>262</v>
      </c>
      <c r="K84" s="111" t="s">
        <v>247</v>
      </c>
      <c r="L84" s="115">
        <v>2026.0</v>
      </c>
      <c r="M84" s="111" t="s">
        <v>159</v>
      </c>
      <c r="N84" s="124"/>
      <c r="O84" s="116" t="str">
        <f>IF(ISBLANK(A84), "", IF(AND(LOWER(TRIM(K84))=LOWER(TRIM(PANEL!$L$2)), L84=PANEL!$I$2), MAX($O$4:O83)+1, ""))</f>
        <v/>
      </c>
      <c r="P84" s="100" t="str">
        <f t="shared" si="1"/>
        <v>Q2</v>
      </c>
    </row>
    <row r="85" ht="21.75" customHeight="1">
      <c r="A85" s="117" t="s">
        <v>438</v>
      </c>
      <c r="B85" s="118" t="s">
        <v>439</v>
      </c>
      <c r="C85" s="119" t="s">
        <v>440</v>
      </c>
      <c r="D85" s="119" t="s">
        <v>138</v>
      </c>
      <c r="E85" s="120" t="s">
        <v>271</v>
      </c>
      <c r="F85" s="120" t="s">
        <v>158</v>
      </c>
      <c r="G85" s="120" t="s">
        <v>420</v>
      </c>
      <c r="H85" s="121">
        <v>15800.0</v>
      </c>
      <c r="I85" s="119" t="s">
        <v>158</v>
      </c>
      <c r="J85" s="119" t="s">
        <v>143</v>
      </c>
      <c r="K85" s="119" t="s">
        <v>247</v>
      </c>
      <c r="L85" s="122">
        <v>2026.0</v>
      </c>
      <c r="M85" s="119" t="s">
        <v>144</v>
      </c>
      <c r="N85" s="120"/>
      <c r="O85" s="123" t="str">
        <f>IF(ISBLANK(A85), "", IF(AND(LOWER(TRIM(K85))=LOWER(TRIM(PANEL!$L$2)), L85=PANEL!$I$2), MAX($O$4:O84)+1, ""))</f>
        <v/>
      </c>
      <c r="P85" s="101" t="str">
        <f t="shared" si="1"/>
        <v>Q2</v>
      </c>
    </row>
    <row r="86" ht="21.75" customHeight="1">
      <c r="A86" s="109" t="s">
        <v>441</v>
      </c>
      <c r="B86" s="110" t="s">
        <v>442</v>
      </c>
      <c r="C86" s="111" t="s">
        <v>443</v>
      </c>
      <c r="D86" s="111" t="s">
        <v>138</v>
      </c>
      <c r="E86" s="124" t="s">
        <v>155</v>
      </c>
      <c r="F86" s="124" t="s">
        <v>156</v>
      </c>
      <c r="G86" s="124" t="s">
        <v>444</v>
      </c>
      <c r="H86" s="113">
        <v>40000.0</v>
      </c>
      <c r="I86" s="111" t="s">
        <v>261</v>
      </c>
      <c r="J86" s="111" t="s">
        <v>143</v>
      </c>
      <c r="K86" s="111" t="s">
        <v>247</v>
      </c>
      <c r="L86" s="115">
        <v>2026.0</v>
      </c>
      <c r="M86" s="111" t="s">
        <v>159</v>
      </c>
      <c r="N86" s="124"/>
      <c r="O86" s="116" t="str">
        <f>IF(ISBLANK(A86), "", IF(AND(LOWER(TRIM(K86))=LOWER(TRIM(PANEL!$L$2)), L86=PANEL!$I$2), MAX($O$4:O85)+1, ""))</f>
        <v/>
      </c>
      <c r="P86" s="100" t="str">
        <f t="shared" si="1"/>
        <v>Q2</v>
      </c>
    </row>
    <row r="87" ht="21.75" customHeight="1">
      <c r="A87" s="117" t="s">
        <v>445</v>
      </c>
      <c r="B87" s="118" t="s">
        <v>442</v>
      </c>
      <c r="C87" s="119" t="s">
        <v>446</v>
      </c>
      <c r="D87" s="119" t="s">
        <v>138</v>
      </c>
      <c r="E87" s="120" t="s">
        <v>271</v>
      </c>
      <c r="F87" s="120" t="s">
        <v>158</v>
      </c>
      <c r="G87" s="120" t="s">
        <v>420</v>
      </c>
      <c r="H87" s="121">
        <v>14700.0</v>
      </c>
      <c r="I87" s="119" t="s">
        <v>158</v>
      </c>
      <c r="J87" s="119" t="s">
        <v>143</v>
      </c>
      <c r="K87" s="119" t="s">
        <v>247</v>
      </c>
      <c r="L87" s="122">
        <v>2026.0</v>
      </c>
      <c r="M87" s="119" t="s">
        <v>144</v>
      </c>
      <c r="N87" s="120"/>
      <c r="O87" s="123" t="str">
        <f>IF(ISBLANK(A87), "", IF(AND(LOWER(TRIM(K87))=LOWER(TRIM(PANEL!$L$2)), L87=PANEL!$I$2), MAX($O$4:O86)+1, ""))</f>
        <v/>
      </c>
      <c r="P87" s="101" t="str">
        <f t="shared" si="1"/>
        <v>Q2</v>
      </c>
    </row>
    <row r="88" ht="21.75" customHeight="1">
      <c r="A88" s="109" t="s">
        <v>447</v>
      </c>
      <c r="B88" s="110" t="s">
        <v>442</v>
      </c>
      <c r="C88" s="111" t="s">
        <v>448</v>
      </c>
      <c r="D88" s="111" t="s">
        <v>138</v>
      </c>
      <c r="E88" s="124" t="s">
        <v>271</v>
      </c>
      <c r="F88" s="124" t="s">
        <v>158</v>
      </c>
      <c r="G88" s="124" t="s">
        <v>420</v>
      </c>
      <c r="H88" s="113">
        <v>35000.0</v>
      </c>
      <c r="I88" s="111" t="s">
        <v>158</v>
      </c>
      <c r="J88" s="111" t="s">
        <v>143</v>
      </c>
      <c r="K88" s="111" t="s">
        <v>247</v>
      </c>
      <c r="L88" s="115">
        <v>2026.0</v>
      </c>
      <c r="M88" s="111" t="s">
        <v>144</v>
      </c>
      <c r="N88" s="124"/>
      <c r="O88" s="116" t="str">
        <f>IF(ISBLANK(A88), "", IF(AND(LOWER(TRIM(K88))=LOWER(TRIM(PANEL!$L$2)), L88=PANEL!$I$2), MAX($O$4:O87)+1, ""))</f>
        <v/>
      </c>
      <c r="P88" s="100" t="str">
        <f t="shared" si="1"/>
        <v>Q2</v>
      </c>
    </row>
    <row r="89" ht="21.75" customHeight="1">
      <c r="A89" s="117" t="s">
        <v>449</v>
      </c>
      <c r="B89" s="118" t="s">
        <v>450</v>
      </c>
      <c r="C89" s="119" t="s">
        <v>451</v>
      </c>
      <c r="D89" s="119" t="s">
        <v>138</v>
      </c>
      <c r="E89" s="120" t="s">
        <v>48</v>
      </c>
      <c r="F89" s="120" t="s">
        <v>452</v>
      </c>
      <c r="G89" s="120" t="s">
        <v>453</v>
      </c>
      <c r="H89" s="121">
        <v>11800.0</v>
      </c>
      <c r="I89" s="119" t="s">
        <v>158</v>
      </c>
      <c r="J89" s="119" t="s">
        <v>143</v>
      </c>
      <c r="K89" s="119" t="s">
        <v>247</v>
      </c>
      <c r="L89" s="122">
        <v>2026.0</v>
      </c>
      <c r="M89" s="119" t="s">
        <v>144</v>
      </c>
      <c r="N89" s="120"/>
      <c r="O89" s="123" t="str">
        <f>IF(ISBLANK(A89), "", IF(AND(LOWER(TRIM(K89))=LOWER(TRIM(PANEL!$L$2)), L89=PANEL!$I$2), MAX($O$4:O88)+1, ""))</f>
        <v/>
      </c>
      <c r="P89" s="101" t="str">
        <f t="shared" si="1"/>
        <v>Q2</v>
      </c>
    </row>
    <row r="90" ht="21.75" customHeight="1">
      <c r="A90" s="109" t="s">
        <v>454</v>
      </c>
      <c r="B90" s="110" t="s">
        <v>450</v>
      </c>
      <c r="C90" s="111" t="s">
        <v>455</v>
      </c>
      <c r="D90" s="111" t="s">
        <v>138</v>
      </c>
      <c r="E90" s="124" t="s">
        <v>258</v>
      </c>
      <c r="F90" s="124" t="s">
        <v>259</v>
      </c>
      <c r="G90" s="124" t="s">
        <v>456</v>
      </c>
      <c r="H90" s="113">
        <v>8500.0</v>
      </c>
      <c r="I90" s="111" t="s">
        <v>158</v>
      </c>
      <c r="J90" s="111" t="s">
        <v>143</v>
      </c>
      <c r="K90" s="111" t="s">
        <v>247</v>
      </c>
      <c r="L90" s="115">
        <v>2026.0</v>
      </c>
      <c r="M90" s="111" t="s">
        <v>144</v>
      </c>
      <c r="N90" s="124"/>
      <c r="O90" s="116" t="str">
        <f>IF(ISBLANK(A90), "", IF(AND(LOWER(TRIM(K90))=LOWER(TRIM(PANEL!$L$2)), L90=PANEL!$I$2), MAX($O$4:O89)+1, ""))</f>
        <v/>
      </c>
      <c r="P90" s="100" t="str">
        <f t="shared" si="1"/>
        <v>Q2</v>
      </c>
    </row>
    <row r="91" ht="21.75" customHeight="1">
      <c r="A91" s="117" t="s">
        <v>457</v>
      </c>
      <c r="B91" s="118" t="s">
        <v>458</v>
      </c>
      <c r="C91" s="119" t="s">
        <v>459</v>
      </c>
      <c r="D91" s="119" t="s">
        <v>138</v>
      </c>
      <c r="E91" s="120" t="s">
        <v>48</v>
      </c>
      <c r="F91" s="120" t="s">
        <v>140</v>
      </c>
      <c r="G91" s="120" t="s">
        <v>364</v>
      </c>
      <c r="H91" s="121">
        <v>850000.0</v>
      </c>
      <c r="I91" s="119" t="s">
        <v>261</v>
      </c>
      <c r="J91" s="119" t="s">
        <v>262</v>
      </c>
      <c r="K91" s="119" t="s">
        <v>247</v>
      </c>
      <c r="L91" s="122">
        <v>2026.0</v>
      </c>
      <c r="M91" s="119" t="s">
        <v>159</v>
      </c>
      <c r="N91" s="120"/>
      <c r="O91" s="123" t="str">
        <f>IF(ISBLANK(A91), "", IF(AND(LOWER(TRIM(K91))=LOWER(TRIM(PANEL!$L$2)), L91=PANEL!$I$2), MAX($O$4:O90)+1, ""))</f>
        <v/>
      </c>
      <c r="P91" s="101" t="str">
        <f t="shared" si="1"/>
        <v>Q2</v>
      </c>
    </row>
    <row r="92" ht="21.75" customHeight="1">
      <c r="A92" s="109" t="s">
        <v>460</v>
      </c>
      <c r="B92" s="110" t="s">
        <v>461</v>
      </c>
      <c r="C92" s="111" t="s">
        <v>462</v>
      </c>
      <c r="D92" s="111" t="s">
        <v>138</v>
      </c>
      <c r="E92" s="124" t="s">
        <v>62</v>
      </c>
      <c r="F92" s="124" t="s">
        <v>463</v>
      </c>
      <c r="G92" s="124" t="s">
        <v>464</v>
      </c>
      <c r="H92" s="113">
        <v>50000.0</v>
      </c>
      <c r="I92" s="111" t="s">
        <v>158</v>
      </c>
      <c r="J92" s="111" t="s">
        <v>143</v>
      </c>
      <c r="K92" s="111" t="s">
        <v>247</v>
      </c>
      <c r="L92" s="115">
        <v>2026.0</v>
      </c>
      <c r="M92" s="111" t="s">
        <v>144</v>
      </c>
      <c r="N92" s="124"/>
      <c r="O92" s="116" t="str">
        <f>IF(ISBLANK(A92), "", IF(AND(LOWER(TRIM(K92))=LOWER(TRIM(PANEL!$L$2)), L92=PANEL!$I$2), MAX($O$4:O91)+1, ""))</f>
        <v/>
      </c>
      <c r="P92" s="100" t="str">
        <f t="shared" si="1"/>
        <v>Q2</v>
      </c>
    </row>
    <row r="93" ht="21.75" customHeight="1">
      <c r="A93" s="117" t="s">
        <v>465</v>
      </c>
      <c r="B93" s="118" t="s">
        <v>461</v>
      </c>
      <c r="C93" s="119" t="s">
        <v>466</v>
      </c>
      <c r="D93" s="119" t="s">
        <v>138</v>
      </c>
      <c r="E93" s="120" t="s">
        <v>179</v>
      </c>
      <c r="F93" s="120" t="s">
        <v>140</v>
      </c>
      <c r="G93" s="120" t="s">
        <v>467</v>
      </c>
      <c r="H93" s="121">
        <v>177000.0</v>
      </c>
      <c r="I93" s="119" t="s">
        <v>261</v>
      </c>
      <c r="J93" s="119" t="s">
        <v>262</v>
      </c>
      <c r="K93" s="119" t="s">
        <v>247</v>
      </c>
      <c r="L93" s="122">
        <v>2026.0</v>
      </c>
      <c r="M93" s="119" t="s">
        <v>159</v>
      </c>
      <c r="N93" s="120"/>
      <c r="O93" s="123" t="str">
        <f>IF(ISBLANK(A93), "", IF(AND(LOWER(TRIM(K93))=LOWER(TRIM(PANEL!$L$2)), L93=PANEL!$I$2), MAX($O$4:O92)+1, ""))</f>
        <v/>
      </c>
      <c r="P93" s="101" t="str">
        <f t="shared" si="1"/>
        <v>Q2</v>
      </c>
    </row>
    <row r="94" ht="21.75" customHeight="1">
      <c r="A94" s="109" t="s">
        <v>468</v>
      </c>
      <c r="B94" s="110" t="s">
        <v>469</v>
      </c>
      <c r="C94" s="111" t="s">
        <v>470</v>
      </c>
      <c r="D94" s="111" t="s">
        <v>138</v>
      </c>
      <c r="E94" s="124" t="s">
        <v>179</v>
      </c>
      <c r="F94" s="124" t="s">
        <v>140</v>
      </c>
      <c r="G94" s="124" t="s">
        <v>471</v>
      </c>
      <c r="H94" s="113">
        <v>62136.0</v>
      </c>
      <c r="I94" s="111" t="s">
        <v>261</v>
      </c>
      <c r="J94" s="111" t="s">
        <v>262</v>
      </c>
      <c r="K94" s="111" t="s">
        <v>247</v>
      </c>
      <c r="L94" s="115">
        <v>2026.0</v>
      </c>
      <c r="M94" s="111" t="s">
        <v>159</v>
      </c>
      <c r="N94" s="124"/>
      <c r="O94" s="116" t="str">
        <f>IF(ISBLANK(A94), "", IF(AND(LOWER(TRIM(K94))=LOWER(TRIM(PANEL!$L$2)), L94=PANEL!$I$2), MAX($O$4:O93)+1, ""))</f>
        <v/>
      </c>
      <c r="P94" s="100" t="str">
        <f t="shared" si="1"/>
        <v>Q1</v>
      </c>
    </row>
    <row r="95" ht="21.75" customHeight="1">
      <c r="A95" s="117" t="s">
        <v>472</v>
      </c>
      <c r="B95" s="118" t="s">
        <v>469</v>
      </c>
      <c r="C95" s="119" t="s">
        <v>473</v>
      </c>
      <c r="D95" s="119" t="s">
        <v>138</v>
      </c>
      <c r="E95" s="120" t="s">
        <v>155</v>
      </c>
      <c r="F95" s="120" t="s">
        <v>156</v>
      </c>
      <c r="G95" s="120" t="s">
        <v>474</v>
      </c>
      <c r="H95" s="121">
        <v>50000.0</v>
      </c>
      <c r="I95" s="119" t="s">
        <v>261</v>
      </c>
      <c r="J95" s="119" t="s">
        <v>262</v>
      </c>
      <c r="K95" s="119" t="s">
        <v>247</v>
      </c>
      <c r="L95" s="122">
        <v>2026.0</v>
      </c>
      <c r="M95" s="119" t="s">
        <v>159</v>
      </c>
      <c r="N95" s="120"/>
      <c r="O95" s="123" t="str">
        <f>IF(ISBLANK(A95), "", IF(AND(LOWER(TRIM(K95))=LOWER(TRIM(PANEL!$L$2)), L95=PANEL!$I$2), MAX($O$4:O94)+1, ""))</f>
        <v/>
      </c>
      <c r="P95" s="101" t="str">
        <f t="shared" si="1"/>
        <v>Q1</v>
      </c>
    </row>
    <row r="96" ht="21.75" customHeight="1">
      <c r="A96" s="109" t="s">
        <v>475</v>
      </c>
      <c r="B96" s="110" t="s">
        <v>469</v>
      </c>
      <c r="C96" s="111" t="s">
        <v>476</v>
      </c>
      <c r="D96" s="111" t="s">
        <v>138</v>
      </c>
      <c r="E96" s="124" t="s">
        <v>258</v>
      </c>
      <c r="F96" s="124" t="s">
        <v>140</v>
      </c>
      <c r="G96" s="124" t="s">
        <v>477</v>
      </c>
      <c r="H96" s="113">
        <v>8500.0</v>
      </c>
      <c r="I96" s="111" t="s">
        <v>261</v>
      </c>
      <c r="J96" s="111" t="s">
        <v>262</v>
      </c>
      <c r="K96" s="111" t="s">
        <v>247</v>
      </c>
      <c r="L96" s="115">
        <v>2026.0</v>
      </c>
      <c r="M96" s="111" t="s">
        <v>159</v>
      </c>
      <c r="N96" s="124"/>
      <c r="O96" s="116" t="str">
        <f>IF(ISBLANK(A96), "", IF(AND(LOWER(TRIM(K96))=LOWER(TRIM(PANEL!$L$2)), L96=PANEL!$I$2), MAX($O$4:O95)+1, ""))</f>
        <v/>
      </c>
      <c r="P96" s="100" t="str">
        <f t="shared" si="1"/>
        <v>Q1</v>
      </c>
    </row>
    <row r="97" ht="21.75" customHeight="1">
      <c r="A97" s="117" t="s">
        <v>478</v>
      </c>
      <c r="B97" s="118" t="s">
        <v>469</v>
      </c>
      <c r="C97" s="119" t="s">
        <v>479</v>
      </c>
      <c r="D97" s="119" t="s">
        <v>191</v>
      </c>
      <c r="E97" s="120" t="s">
        <v>192</v>
      </c>
      <c r="F97" s="120" t="s">
        <v>193</v>
      </c>
      <c r="G97" s="120" t="s">
        <v>194</v>
      </c>
      <c r="H97" s="121">
        <v>1662038.0</v>
      </c>
      <c r="I97" s="119" t="s">
        <v>195</v>
      </c>
      <c r="J97" s="119" t="s">
        <v>291</v>
      </c>
      <c r="K97" s="119" t="s">
        <v>247</v>
      </c>
      <c r="L97" s="122">
        <v>2026.0</v>
      </c>
      <c r="M97" s="119" t="s">
        <v>159</v>
      </c>
      <c r="N97" s="120"/>
      <c r="O97" s="123" t="str">
        <f>IF(ISBLANK(A97), "", IF(AND(LOWER(TRIM(K97))=LOWER(TRIM(PANEL!$L$2)), L97=PANEL!$I$2), MAX($O$4:O96)+1, ""))</f>
        <v/>
      </c>
      <c r="P97" s="101" t="str">
        <f t="shared" si="1"/>
        <v>Q1</v>
      </c>
    </row>
    <row r="98" ht="21.75" customHeight="1">
      <c r="A98" s="109" t="s">
        <v>480</v>
      </c>
      <c r="B98" s="110" t="s">
        <v>469</v>
      </c>
      <c r="C98" s="111" t="s">
        <v>481</v>
      </c>
      <c r="D98" s="111" t="s">
        <v>138</v>
      </c>
      <c r="E98" s="124" t="s">
        <v>48</v>
      </c>
      <c r="F98" s="124" t="s">
        <v>452</v>
      </c>
      <c r="G98" s="124" t="s">
        <v>453</v>
      </c>
      <c r="H98" s="113">
        <v>20600.0</v>
      </c>
      <c r="I98" s="111" t="s">
        <v>158</v>
      </c>
      <c r="J98" s="111" t="s">
        <v>143</v>
      </c>
      <c r="K98" s="111" t="s">
        <v>247</v>
      </c>
      <c r="L98" s="115">
        <v>2026.0</v>
      </c>
      <c r="M98" s="111" t="s">
        <v>144</v>
      </c>
      <c r="N98" s="124"/>
      <c r="O98" s="116" t="str">
        <f>IF(ISBLANK(A98), "", IF(AND(LOWER(TRIM(K98))=LOWER(TRIM(PANEL!$L$2)), L98=PANEL!$I$2), MAX($O$4:O97)+1, ""))</f>
        <v/>
      </c>
      <c r="P98" s="100" t="str">
        <f t="shared" si="1"/>
        <v>Q1</v>
      </c>
    </row>
    <row r="99" ht="21.75" customHeight="1">
      <c r="A99" s="117" t="s">
        <v>482</v>
      </c>
      <c r="B99" s="118" t="s">
        <v>469</v>
      </c>
      <c r="C99" s="119" t="s">
        <v>483</v>
      </c>
      <c r="D99" s="119" t="s">
        <v>138</v>
      </c>
      <c r="E99" s="120" t="s">
        <v>139</v>
      </c>
      <c r="F99" s="120" t="s">
        <v>140</v>
      </c>
      <c r="G99" s="120" t="s">
        <v>333</v>
      </c>
      <c r="H99" s="121">
        <v>10000.0</v>
      </c>
      <c r="I99" s="119" t="s">
        <v>261</v>
      </c>
      <c r="J99" s="119" t="s">
        <v>262</v>
      </c>
      <c r="K99" s="119" t="s">
        <v>247</v>
      </c>
      <c r="L99" s="122">
        <v>2026.0</v>
      </c>
      <c r="M99" s="119" t="s">
        <v>159</v>
      </c>
      <c r="N99" s="120"/>
      <c r="O99" s="123" t="str">
        <f>IF(ISBLANK(A99), "", IF(AND(LOWER(TRIM(K99))=LOWER(TRIM(PANEL!$L$2)), L99=PANEL!$I$2), MAX($O$4:O98)+1, ""))</f>
        <v/>
      </c>
      <c r="P99" s="101" t="str">
        <f t="shared" si="1"/>
        <v>Q1</v>
      </c>
    </row>
    <row r="100" ht="21.75" customHeight="1">
      <c r="A100" s="109" t="s">
        <v>484</v>
      </c>
      <c r="B100" s="110" t="s">
        <v>485</v>
      </c>
      <c r="C100" s="111" t="s">
        <v>486</v>
      </c>
      <c r="D100" s="111" t="s">
        <v>138</v>
      </c>
      <c r="E100" s="124" t="s">
        <v>60</v>
      </c>
      <c r="F100" s="124" t="s">
        <v>487</v>
      </c>
      <c r="G100" s="124" t="s">
        <v>488</v>
      </c>
      <c r="H100" s="113">
        <v>5000.0</v>
      </c>
      <c r="I100" s="111" t="s">
        <v>142</v>
      </c>
      <c r="J100" s="111" t="s">
        <v>143</v>
      </c>
      <c r="K100" s="111" t="s">
        <v>247</v>
      </c>
      <c r="L100" s="115">
        <v>2026.0</v>
      </c>
      <c r="M100" s="111" t="s">
        <v>144</v>
      </c>
      <c r="N100" s="124"/>
      <c r="O100" s="116" t="str">
        <f>IF(ISBLANK(A100), "", IF(AND(LOWER(TRIM(K100))=LOWER(TRIM(PANEL!$L$2)), L100=PANEL!$I$2), MAX($O$4:O99)+1, ""))</f>
        <v/>
      </c>
      <c r="P100" s="100" t="str">
        <f t="shared" si="1"/>
        <v>Q1</v>
      </c>
    </row>
    <row r="101" ht="21.75" customHeight="1">
      <c r="A101" s="117" t="s">
        <v>489</v>
      </c>
      <c r="B101" s="118" t="s">
        <v>490</v>
      </c>
      <c r="C101" s="119" t="s">
        <v>491</v>
      </c>
      <c r="D101" s="119" t="s">
        <v>191</v>
      </c>
      <c r="E101" s="120" t="s">
        <v>192</v>
      </c>
      <c r="F101" s="120" t="s">
        <v>193</v>
      </c>
      <c r="G101" s="120" t="s">
        <v>194</v>
      </c>
      <c r="H101" s="121">
        <v>1497802.0</v>
      </c>
      <c r="I101" s="119" t="s">
        <v>195</v>
      </c>
      <c r="J101" s="119" t="s">
        <v>291</v>
      </c>
      <c r="K101" s="119" t="s">
        <v>240</v>
      </c>
      <c r="L101" s="122">
        <v>2026.0</v>
      </c>
      <c r="M101" s="119" t="s">
        <v>159</v>
      </c>
      <c r="N101" s="120"/>
      <c r="O101" s="123" t="str">
        <f>IF(ISBLANK(A101), "", IF(AND(LOWER(TRIM(K101))=LOWER(TRIM(PANEL!$L$2)), L101=PANEL!$I$2), MAX($O$4:O100)+1, ""))</f>
        <v/>
      </c>
      <c r="P101" s="101" t="str">
        <f t="shared" si="1"/>
        <v>Q2</v>
      </c>
    </row>
    <row r="102" ht="21.75" customHeight="1">
      <c r="A102" s="109" t="s">
        <v>492</v>
      </c>
      <c r="B102" s="110" t="s">
        <v>490</v>
      </c>
      <c r="C102" s="111" t="s">
        <v>493</v>
      </c>
      <c r="D102" s="111" t="s">
        <v>138</v>
      </c>
      <c r="E102" s="124" t="s">
        <v>155</v>
      </c>
      <c r="F102" s="124" t="s">
        <v>156</v>
      </c>
      <c r="G102" s="124" t="s">
        <v>436</v>
      </c>
      <c r="H102" s="113">
        <v>40000.0</v>
      </c>
      <c r="I102" s="111" t="s">
        <v>261</v>
      </c>
      <c r="J102" s="111" t="s">
        <v>262</v>
      </c>
      <c r="K102" s="111" t="s">
        <v>240</v>
      </c>
      <c r="L102" s="115">
        <v>2026.0</v>
      </c>
      <c r="M102" s="111" t="s">
        <v>494</v>
      </c>
      <c r="N102" s="124"/>
      <c r="O102" s="116" t="str">
        <f>IF(ISBLANK(A102), "", IF(AND(LOWER(TRIM(K102))=LOWER(TRIM(PANEL!$L$2)), L102=PANEL!$I$2), MAX($O$4:O101)+1, ""))</f>
        <v/>
      </c>
      <c r="P102" s="100" t="str">
        <f t="shared" si="1"/>
        <v>Q2</v>
      </c>
    </row>
    <row r="103" ht="21.75" customHeight="1">
      <c r="A103" s="117" t="s">
        <v>495</v>
      </c>
      <c r="B103" s="118" t="s">
        <v>490</v>
      </c>
      <c r="C103" s="119" t="s">
        <v>493</v>
      </c>
      <c r="D103" s="119" t="s">
        <v>138</v>
      </c>
      <c r="E103" s="120" t="s">
        <v>48</v>
      </c>
      <c r="F103" s="120" t="s">
        <v>168</v>
      </c>
      <c r="G103" s="120" t="s">
        <v>364</v>
      </c>
      <c r="H103" s="121">
        <v>200000.0</v>
      </c>
      <c r="I103" s="119" t="s">
        <v>261</v>
      </c>
      <c r="J103" s="119" t="s">
        <v>262</v>
      </c>
      <c r="K103" s="119" t="s">
        <v>240</v>
      </c>
      <c r="L103" s="122">
        <v>2026.0</v>
      </c>
      <c r="M103" s="119" t="s">
        <v>494</v>
      </c>
      <c r="N103" s="120"/>
      <c r="O103" s="123" t="str">
        <f>IF(ISBLANK(A103), "", IF(AND(LOWER(TRIM(K103))=LOWER(TRIM(PANEL!$L$2)), L103=PANEL!$I$2), MAX($O$4:O102)+1, ""))</f>
        <v/>
      </c>
      <c r="P103" s="101" t="str">
        <f t="shared" si="1"/>
        <v>Q2</v>
      </c>
    </row>
    <row r="104" ht="21.75" customHeight="1">
      <c r="A104" s="109" t="s">
        <v>496</v>
      </c>
      <c r="B104" s="110" t="s">
        <v>490</v>
      </c>
      <c r="C104" s="111" t="s">
        <v>493</v>
      </c>
      <c r="D104" s="111" t="s">
        <v>138</v>
      </c>
      <c r="E104" s="124" t="s">
        <v>258</v>
      </c>
      <c r="F104" s="124" t="s">
        <v>259</v>
      </c>
      <c r="G104" s="124" t="s">
        <v>477</v>
      </c>
      <c r="H104" s="113">
        <v>40000.0</v>
      </c>
      <c r="I104" s="111" t="s">
        <v>261</v>
      </c>
      <c r="J104" s="111" t="s">
        <v>262</v>
      </c>
      <c r="K104" s="111" t="s">
        <v>240</v>
      </c>
      <c r="L104" s="115">
        <v>2026.0</v>
      </c>
      <c r="M104" s="111" t="s">
        <v>494</v>
      </c>
      <c r="N104" s="124"/>
      <c r="O104" s="116" t="str">
        <f>IF(ISBLANK(A104), "", IF(AND(LOWER(TRIM(K104))=LOWER(TRIM(PANEL!$L$2)), L104=PANEL!$I$2), MAX($O$4:O103)+1, ""))</f>
        <v/>
      </c>
      <c r="P104" s="100" t="str">
        <f t="shared" si="1"/>
        <v>Q2</v>
      </c>
    </row>
    <row r="105" ht="21.75" customHeight="1">
      <c r="A105" s="117" t="s">
        <v>497</v>
      </c>
      <c r="B105" s="118" t="s">
        <v>490</v>
      </c>
      <c r="C105" s="119" t="s">
        <v>493</v>
      </c>
      <c r="D105" s="119" t="s">
        <v>138</v>
      </c>
      <c r="E105" s="120" t="s">
        <v>155</v>
      </c>
      <c r="F105" s="120" t="s">
        <v>161</v>
      </c>
      <c r="G105" s="120" t="s">
        <v>411</v>
      </c>
      <c r="H105" s="121">
        <v>25000.0</v>
      </c>
      <c r="I105" s="119" t="s">
        <v>261</v>
      </c>
      <c r="J105" s="119" t="s">
        <v>262</v>
      </c>
      <c r="K105" s="119" t="s">
        <v>240</v>
      </c>
      <c r="L105" s="122">
        <v>2026.0</v>
      </c>
      <c r="M105" s="119" t="s">
        <v>494</v>
      </c>
      <c r="N105" s="120"/>
      <c r="O105" s="123" t="str">
        <f>IF(ISBLANK(A105), "", IF(AND(LOWER(TRIM(K105))=LOWER(TRIM(PANEL!$L$2)), L105=PANEL!$I$2), MAX($O$4:O104)+1, ""))</f>
        <v/>
      </c>
      <c r="P105" s="101" t="str">
        <f t="shared" si="1"/>
        <v>Q2</v>
      </c>
    </row>
    <row r="106" ht="21.75" customHeight="1">
      <c r="A106" s="109" t="s">
        <v>498</v>
      </c>
      <c r="B106" s="110" t="s">
        <v>490</v>
      </c>
      <c r="C106" s="111" t="s">
        <v>493</v>
      </c>
      <c r="D106" s="111" t="s">
        <v>138</v>
      </c>
      <c r="E106" s="124" t="s">
        <v>179</v>
      </c>
      <c r="F106" s="124" t="s">
        <v>499</v>
      </c>
      <c r="G106" s="124" t="s">
        <v>397</v>
      </c>
      <c r="H106" s="113">
        <v>20000.0</v>
      </c>
      <c r="I106" s="111" t="s">
        <v>261</v>
      </c>
      <c r="J106" s="111" t="s">
        <v>262</v>
      </c>
      <c r="K106" s="111" t="s">
        <v>240</v>
      </c>
      <c r="L106" s="115">
        <v>2026.0</v>
      </c>
      <c r="M106" s="111" t="s">
        <v>494</v>
      </c>
      <c r="N106" s="124"/>
      <c r="O106" s="116" t="str">
        <f>IF(ISBLANK(A106), "", IF(AND(LOWER(TRIM(K106))=LOWER(TRIM(PANEL!$L$2)), L106=PANEL!$I$2), MAX($O$4:O105)+1, ""))</f>
        <v/>
      </c>
      <c r="P106" s="100" t="str">
        <f t="shared" si="1"/>
        <v>Q2</v>
      </c>
    </row>
    <row r="107" ht="21.75" customHeight="1">
      <c r="A107" s="117" t="s">
        <v>500</v>
      </c>
      <c r="B107" s="118" t="s">
        <v>490</v>
      </c>
      <c r="C107" s="119" t="s">
        <v>493</v>
      </c>
      <c r="D107" s="119" t="s">
        <v>138</v>
      </c>
      <c r="E107" s="120" t="s">
        <v>173</v>
      </c>
      <c r="F107" s="120" t="s">
        <v>501</v>
      </c>
      <c r="G107" s="120" t="s">
        <v>50</v>
      </c>
      <c r="H107" s="121">
        <v>900000.0</v>
      </c>
      <c r="I107" s="119" t="s">
        <v>261</v>
      </c>
      <c r="J107" s="119" t="s">
        <v>262</v>
      </c>
      <c r="K107" s="119" t="s">
        <v>240</v>
      </c>
      <c r="L107" s="122">
        <v>2026.0</v>
      </c>
      <c r="M107" s="119" t="s">
        <v>494</v>
      </c>
      <c r="N107" s="120"/>
      <c r="O107" s="123" t="str">
        <f>IF(ISBLANK(A107), "", IF(AND(LOWER(TRIM(K107))=LOWER(TRIM(PANEL!$L$2)), L107=PANEL!$I$2), MAX($O$4:O106)+1, ""))</f>
        <v/>
      </c>
      <c r="P107" s="101" t="str">
        <f t="shared" si="1"/>
        <v>Q2</v>
      </c>
    </row>
    <row r="108" ht="21.75" customHeight="1">
      <c r="A108" s="109" t="s">
        <v>502</v>
      </c>
      <c r="B108" s="110" t="s">
        <v>503</v>
      </c>
      <c r="C108" s="111" t="s">
        <v>504</v>
      </c>
      <c r="D108" s="111" t="s">
        <v>191</v>
      </c>
      <c r="E108" s="124" t="s">
        <v>192</v>
      </c>
      <c r="F108" s="124" t="s">
        <v>193</v>
      </c>
      <c r="G108" s="124" t="s">
        <v>194</v>
      </c>
      <c r="H108" s="113">
        <v>1674389.0</v>
      </c>
      <c r="I108" s="111" t="s">
        <v>195</v>
      </c>
      <c r="J108" s="111" t="s">
        <v>291</v>
      </c>
      <c r="K108" s="111" t="s">
        <v>240</v>
      </c>
      <c r="L108" s="115">
        <v>2026.0</v>
      </c>
      <c r="M108" s="111" t="s">
        <v>159</v>
      </c>
      <c r="N108" s="124"/>
      <c r="O108" s="116" t="str">
        <f>IF(ISBLANK(A108), "", IF(AND(LOWER(TRIM(K108))=LOWER(TRIM(PANEL!$L$2)), L108=PANEL!$I$2), MAX($O$4:O107)+1, ""))</f>
        <v/>
      </c>
      <c r="P108" s="100" t="str">
        <f t="shared" si="1"/>
        <v>Q1</v>
      </c>
    </row>
    <row r="109" ht="21.75" customHeight="1">
      <c r="A109" s="117" t="s">
        <v>505</v>
      </c>
      <c r="B109" s="118" t="s">
        <v>503</v>
      </c>
      <c r="C109" s="119" t="s">
        <v>493</v>
      </c>
      <c r="D109" s="119" t="s">
        <v>138</v>
      </c>
      <c r="E109" s="120" t="s">
        <v>179</v>
      </c>
      <c r="F109" s="120" t="s">
        <v>499</v>
      </c>
      <c r="G109" s="120" t="s">
        <v>400</v>
      </c>
      <c r="H109" s="121">
        <v>39000.0</v>
      </c>
      <c r="I109" s="119" t="s">
        <v>261</v>
      </c>
      <c r="J109" s="119" t="s">
        <v>262</v>
      </c>
      <c r="K109" s="119" t="s">
        <v>240</v>
      </c>
      <c r="L109" s="122">
        <v>2026.0</v>
      </c>
      <c r="M109" s="119" t="s">
        <v>494</v>
      </c>
      <c r="N109" s="120"/>
      <c r="O109" s="123" t="str">
        <f>IF(ISBLANK(A109), "", IF(AND(LOWER(TRIM(K109))=LOWER(TRIM(PANEL!$L$2)), L109=PANEL!$I$2), MAX($O$4:O108)+1, ""))</f>
        <v/>
      </c>
      <c r="P109" s="101" t="str">
        <f t="shared" si="1"/>
        <v>Q1</v>
      </c>
    </row>
    <row r="110" ht="21.75" customHeight="1">
      <c r="A110" s="109" t="s">
        <v>506</v>
      </c>
      <c r="B110" s="110" t="s">
        <v>503</v>
      </c>
      <c r="C110" s="111" t="s">
        <v>493</v>
      </c>
      <c r="D110" s="111" t="s">
        <v>138</v>
      </c>
      <c r="E110" s="124" t="s">
        <v>139</v>
      </c>
      <c r="F110" s="124" t="s">
        <v>507</v>
      </c>
      <c r="G110" s="124" t="s">
        <v>333</v>
      </c>
      <c r="H110" s="113">
        <v>10000.0</v>
      </c>
      <c r="I110" s="111" t="s">
        <v>261</v>
      </c>
      <c r="J110" s="111" t="s">
        <v>262</v>
      </c>
      <c r="K110" s="111" t="s">
        <v>240</v>
      </c>
      <c r="L110" s="115">
        <v>2026.0</v>
      </c>
      <c r="M110" s="111" t="s">
        <v>494</v>
      </c>
      <c r="N110" s="124"/>
      <c r="O110" s="116" t="str">
        <f>IF(ISBLANK(A110), "", IF(AND(LOWER(TRIM(K110))=LOWER(TRIM(PANEL!$L$2)), L110=PANEL!$I$2), MAX($O$4:O109)+1, ""))</f>
        <v/>
      </c>
      <c r="P110" s="100" t="str">
        <f t="shared" si="1"/>
        <v>Q1</v>
      </c>
    </row>
    <row r="111" ht="21.75" customHeight="1">
      <c r="A111" s="117" t="s">
        <v>508</v>
      </c>
      <c r="B111" s="118" t="s">
        <v>503</v>
      </c>
      <c r="C111" s="119" t="s">
        <v>493</v>
      </c>
      <c r="D111" s="119" t="s">
        <v>138</v>
      </c>
      <c r="E111" s="120" t="s">
        <v>155</v>
      </c>
      <c r="F111" s="120" t="s">
        <v>161</v>
      </c>
      <c r="G111" s="120" t="s">
        <v>411</v>
      </c>
      <c r="H111" s="121">
        <v>35000.0</v>
      </c>
      <c r="I111" s="119" t="s">
        <v>261</v>
      </c>
      <c r="J111" s="119" t="s">
        <v>262</v>
      </c>
      <c r="K111" s="119" t="s">
        <v>240</v>
      </c>
      <c r="L111" s="122">
        <v>2026.0</v>
      </c>
      <c r="M111" s="119" t="s">
        <v>494</v>
      </c>
      <c r="N111" s="120"/>
      <c r="O111" s="123" t="str">
        <f>IF(ISBLANK(A111), "", IF(AND(LOWER(TRIM(K111))=LOWER(TRIM(PANEL!$L$2)), L111=PANEL!$I$2), MAX($O$4:O110)+1, ""))</f>
        <v/>
      </c>
      <c r="P111" s="101" t="str">
        <f t="shared" si="1"/>
        <v>Q1</v>
      </c>
    </row>
    <row r="112" ht="21.75" customHeight="1">
      <c r="A112" s="109" t="s">
        <v>509</v>
      </c>
      <c r="B112" s="110" t="s">
        <v>503</v>
      </c>
      <c r="C112" s="111" t="s">
        <v>493</v>
      </c>
      <c r="D112" s="111" t="s">
        <v>138</v>
      </c>
      <c r="E112" s="124" t="s">
        <v>155</v>
      </c>
      <c r="F112" s="124" t="s">
        <v>156</v>
      </c>
      <c r="G112" s="124" t="s">
        <v>436</v>
      </c>
      <c r="H112" s="113">
        <v>60000.0</v>
      </c>
      <c r="I112" s="111" t="s">
        <v>261</v>
      </c>
      <c r="J112" s="111" t="s">
        <v>262</v>
      </c>
      <c r="K112" s="111" t="s">
        <v>240</v>
      </c>
      <c r="L112" s="115">
        <v>2026.0</v>
      </c>
      <c r="M112" s="111" t="s">
        <v>494</v>
      </c>
      <c r="N112" s="124"/>
      <c r="O112" s="116" t="str">
        <f>IF(ISBLANK(A112), "", IF(AND(LOWER(TRIM(K112))=LOWER(TRIM(PANEL!$L$2)), L112=PANEL!$I$2), MAX($O$4:O111)+1, ""))</f>
        <v/>
      </c>
      <c r="P112" s="100" t="str">
        <f t="shared" si="1"/>
        <v>Q1</v>
      </c>
    </row>
    <row r="113" ht="21.75" customHeight="1">
      <c r="A113" s="117" t="s">
        <v>510</v>
      </c>
      <c r="B113" s="118" t="s">
        <v>503</v>
      </c>
      <c r="C113" s="119" t="s">
        <v>493</v>
      </c>
      <c r="D113" s="119" t="s">
        <v>138</v>
      </c>
      <c r="E113" s="120" t="s">
        <v>258</v>
      </c>
      <c r="F113" s="120" t="s">
        <v>259</v>
      </c>
      <c r="G113" s="120" t="s">
        <v>477</v>
      </c>
      <c r="H113" s="121">
        <v>40000.0</v>
      </c>
      <c r="I113" s="119" t="s">
        <v>261</v>
      </c>
      <c r="J113" s="119" t="s">
        <v>262</v>
      </c>
      <c r="K113" s="119" t="s">
        <v>240</v>
      </c>
      <c r="L113" s="122">
        <v>2026.0</v>
      </c>
      <c r="M113" s="119" t="s">
        <v>494</v>
      </c>
      <c r="N113" s="120"/>
      <c r="O113" s="123" t="str">
        <f>IF(ISBLANK(A113), "", IF(AND(LOWER(TRIM(K113))=LOWER(TRIM(PANEL!$L$2)), L113=PANEL!$I$2), MAX($O$4:O112)+1, ""))</f>
        <v/>
      </c>
      <c r="P113" s="101" t="str">
        <f t="shared" si="1"/>
        <v>Q1</v>
      </c>
    </row>
    <row r="114" ht="21.75" customHeight="1">
      <c r="A114" s="109" t="s">
        <v>511</v>
      </c>
      <c r="B114" s="110" t="s">
        <v>503</v>
      </c>
      <c r="C114" s="111" t="s">
        <v>493</v>
      </c>
      <c r="D114" s="111" t="s">
        <v>138</v>
      </c>
      <c r="E114" s="124" t="s">
        <v>179</v>
      </c>
      <c r="F114" s="124" t="s">
        <v>499</v>
      </c>
      <c r="G114" s="124" t="s">
        <v>471</v>
      </c>
      <c r="H114" s="113">
        <v>120000.0</v>
      </c>
      <c r="I114" s="111" t="s">
        <v>261</v>
      </c>
      <c r="J114" s="111" t="s">
        <v>262</v>
      </c>
      <c r="K114" s="111" t="s">
        <v>240</v>
      </c>
      <c r="L114" s="115">
        <v>2026.0</v>
      </c>
      <c r="M114" s="111" t="s">
        <v>494</v>
      </c>
      <c r="N114" s="124"/>
      <c r="O114" s="116" t="str">
        <f>IF(ISBLANK(A114), "", IF(AND(LOWER(TRIM(K114))=LOWER(TRIM(PANEL!$L$2)), L114=PANEL!$I$2), MAX($O$4:O113)+1, ""))</f>
        <v/>
      </c>
      <c r="P114" s="100" t="str">
        <f t="shared" si="1"/>
        <v>Q1</v>
      </c>
    </row>
    <row r="115" ht="21.75" customHeight="1">
      <c r="A115" s="117" t="s">
        <v>512</v>
      </c>
      <c r="B115" s="118" t="s">
        <v>503</v>
      </c>
      <c r="C115" s="119" t="s">
        <v>493</v>
      </c>
      <c r="D115" s="119" t="s">
        <v>138</v>
      </c>
      <c r="E115" s="120" t="s">
        <v>48</v>
      </c>
      <c r="F115" s="120" t="s">
        <v>168</v>
      </c>
      <c r="G115" s="120" t="s">
        <v>364</v>
      </c>
      <c r="H115" s="121">
        <v>812900.0</v>
      </c>
      <c r="I115" s="119" t="s">
        <v>261</v>
      </c>
      <c r="J115" s="119" t="s">
        <v>262</v>
      </c>
      <c r="K115" s="119" t="s">
        <v>240</v>
      </c>
      <c r="L115" s="122">
        <v>2026.0</v>
      </c>
      <c r="M115" s="119" t="s">
        <v>494</v>
      </c>
      <c r="N115" s="120"/>
      <c r="O115" s="123" t="str">
        <f>IF(ISBLANK(A115), "", IF(AND(LOWER(TRIM(K115))=LOWER(TRIM(PANEL!$L$2)), L115=PANEL!$I$2), MAX($O$4:O114)+1, ""))</f>
        <v/>
      </c>
      <c r="P115" s="101" t="str">
        <f t="shared" si="1"/>
        <v>Q1</v>
      </c>
    </row>
    <row r="116" ht="21.75" customHeight="1">
      <c r="A116" s="109" t="s">
        <v>513</v>
      </c>
      <c r="B116" s="110" t="s">
        <v>503</v>
      </c>
      <c r="C116" s="111" t="s">
        <v>493</v>
      </c>
      <c r="D116" s="111" t="s">
        <v>138</v>
      </c>
      <c r="E116" s="124" t="s">
        <v>179</v>
      </c>
      <c r="F116" s="124" t="s">
        <v>499</v>
      </c>
      <c r="G116" s="124" t="s">
        <v>467</v>
      </c>
      <c r="H116" s="113">
        <v>60000.0</v>
      </c>
      <c r="I116" s="111" t="s">
        <v>261</v>
      </c>
      <c r="J116" s="111" t="s">
        <v>262</v>
      </c>
      <c r="K116" s="111" t="s">
        <v>240</v>
      </c>
      <c r="L116" s="115">
        <v>2026.0</v>
      </c>
      <c r="M116" s="111" t="s">
        <v>494</v>
      </c>
      <c r="N116" s="124"/>
      <c r="O116" s="116" t="str">
        <f>IF(ISBLANK(A116), "", IF(AND(LOWER(TRIM(K116))=LOWER(TRIM(PANEL!$L$2)), L116=PANEL!$I$2), MAX($O$4:O115)+1, ""))</f>
        <v/>
      </c>
      <c r="P116" s="100" t="str">
        <f t="shared" si="1"/>
        <v>Q1</v>
      </c>
    </row>
    <row r="117" ht="21.75" customHeight="1">
      <c r="A117" s="117" t="s">
        <v>514</v>
      </c>
      <c r="B117" s="118" t="s">
        <v>503</v>
      </c>
      <c r="C117" s="119" t="s">
        <v>493</v>
      </c>
      <c r="D117" s="119" t="s">
        <v>138</v>
      </c>
      <c r="E117" s="120" t="s">
        <v>179</v>
      </c>
      <c r="F117" s="120" t="s">
        <v>499</v>
      </c>
      <c r="G117" s="120" t="s">
        <v>515</v>
      </c>
      <c r="H117" s="121">
        <v>145000.0</v>
      </c>
      <c r="I117" s="119" t="s">
        <v>261</v>
      </c>
      <c r="J117" s="119" t="s">
        <v>262</v>
      </c>
      <c r="K117" s="119" t="s">
        <v>240</v>
      </c>
      <c r="L117" s="122">
        <v>2026.0</v>
      </c>
      <c r="M117" s="119" t="s">
        <v>494</v>
      </c>
      <c r="N117" s="120"/>
      <c r="O117" s="123" t="str">
        <f>IF(ISBLANK(A117), "", IF(AND(LOWER(TRIM(K117))=LOWER(TRIM(PANEL!$L$2)), L117=PANEL!$I$2), MAX($O$4:O116)+1, ""))</f>
        <v/>
      </c>
      <c r="P117" s="101" t="str">
        <f t="shared" si="1"/>
        <v>Q1</v>
      </c>
    </row>
    <row r="118" ht="21.75" customHeight="1">
      <c r="A118" s="109" t="s">
        <v>516</v>
      </c>
      <c r="B118" s="110" t="s">
        <v>517</v>
      </c>
      <c r="C118" s="111" t="s">
        <v>493</v>
      </c>
      <c r="D118" s="111" t="s">
        <v>191</v>
      </c>
      <c r="E118" s="124" t="s">
        <v>192</v>
      </c>
      <c r="F118" s="124" t="s">
        <v>193</v>
      </c>
      <c r="G118" s="124" t="s">
        <v>194</v>
      </c>
      <c r="H118" s="113">
        <v>1938906.0</v>
      </c>
      <c r="I118" s="111" t="s">
        <v>261</v>
      </c>
      <c r="J118" s="111" t="s">
        <v>262</v>
      </c>
      <c r="K118" s="111" t="s">
        <v>233</v>
      </c>
      <c r="L118" s="115">
        <v>2026.0</v>
      </c>
      <c r="M118" s="111" t="s">
        <v>494</v>
      </c>
      <c r="N118" s="124"/>
      <c r="O118" s="116" t="str">
        <f>IF(ISBLANK(A118), "", IF(AND(LOWER(TRIM(K118))=LOWER(TRIM(PANEL!$L$2)), L118=PANEL!$I$2), MAX($O$4:O117)+1, ""))</f>
        <v/>
      </c>
      <c r="P118" s="100" t="str">
        <f t="shared" si="1"/>
        <v>Q2</v>
      </c>
    </row>
    <row r="119" ht="21.75" customHeight="1">
      <c r="A119" s="117" t="s">
        <v>518</v>
      </c>
      <c r="B119" s="118" t="s">
        <v>517</v>
      </c>
      <c r="C119" s="119" t="s">
        <v>493</v>
      </c>
      <c r="D119" s="119" t="s">
        <v>138</v>
      </c>
      <c r="E119" s="120" t="s">
        <v>155</v>
      </c>
      <c r="F119" s="120" t="s">
        <v>156</v>
      </c>
      <c r="G119" s="120" t="s">
        <v>436</v>
      </c>
      <c r="H119" s="121">
        <v>60000.0</v>
      </c>
      <c r="I119" s="119" t="s">
        <v>261</v>
      </c>
      <c r="J119" s="119" t="s">
        <v>262</v>
      </c>
      <c r="K119" s="119" t="s">
        <v>233</v>
      </c>
      <c r="L119" s="122">
        <v>2026.0</v>
      </c>
      <c r="M119" s="119" t="s">
        <v>494</v>
      </c>
      <c r="N119" s="120"/>
      <c r="O119" s="123" t="str">
        <f>IF(ISBLANK(A119), "", IF(AND(LOWER(TRIM(K119))=LOWER(TRIM(PANEL!$L$2)), L119=PANEL!$I$2), MAX($O$4:O118)+1, ""))</f>
        <v/>
      </c>
      <c r="P119" s="101" t="str">
        <f t="shared" si="1"/>
        <v>Q2</v>
      </c>
    </row>
    <row r="120" ht="21.75" customHeight="1">
      <c r="A120" s="109" t="s">
        <v>519</v>
      </c>
      <c r="B120" s="110" t="s">
        <v>517</v>
      </c>
      <c r="C120" s="111" t="s">
        <v>493</v>
      </c>
      <c r="D120" s="111" t="s">
        <v>138</v>
      </c>
      <c r="E120" s="124" t="s">
        <v>48</v>
      </c>
      <c r="F120" s="124" t="s">
        <v>168</v>
      </c>
      <c r="G120" s="124" t="s">
        <v>364</v>
      </c>
      <c r="H120" s="113">
        <v>200000.0</v>
      </c>
      <c r="I120" s="111" t="s">
        <v>261</v>
      </c>
      <c r="J120" s="111" t="s">
        <v>262</v>
      </c>
      <c r="K120" s="111" t="s">
        <v>233</v>
      </c>
      <c r="L120" s="115">
        <v>2026.0</v>
      </c>
      <c r="M120" s="111" t="s">
        <v>494</v>
      </c>
      <c r="N120" s="124"/>
      <c r="O120" s="116" t="str">
        <f>IF(ISBLANK(A120), "", IF(AND(LOWER(TRIM(K120))=LOWER(TRIM(PANEL!$L$2)), L120=PANEL!$I$2), MAX($O$4:O119)+1, ""))</f>
        <v/>
      </c>
      <c r="P120" s="100" t="str">
        <f t="shared" si="1"/>
        <v>Q2</v>
      </c>
    </row>
    <row r="121" ht="21.75" customHeight="1">
      <c r="A121" s="117" t="s">
        <v>520</v>
      </c>
      <c r="B121" s="118" t="s">
        <v>517</v>
      </c>
      <c r="C121" s="119" t="s">
        <v>493</v>
      </c>
      <c r="D121" s="119" t="s">
        <v>138</v>
      </c>
      <c r="E121" s="120" t="s">
        <v>258</v>
      </c>
      <c r="F121" s="120" t="s">
        <v>259</v>
      </c>
      <c r="G121" s="120" t="s">
        <v>477</v>
      </c>
      <c r="H121" s="121">
        <v>40000.0</v>
      </c>
      <c r="I121" s="119" t="s">
        <v>261</v>
      </c>
      <c r="J121" s="119" t="s">
        <v>262</v>
      </c>
      <c r="K121" s="119" t="s">
        <v>233</v>
      </c>
      <c r="L121" s="122">
        <v>2026.0</v>
      </c>
      <c r="M121" s="119" t="s">
        <v>494</v>
      </c>
      <c r="N121" s="120"/>
      <c r="O121" s="123" t="str">
        <f>IF(ISBLANK(A121), "", IF(AND(LOWER(TRIM(K121))=LOWER(TRIM(PANEL!$L$2)), L121=PANEL!$I$2), MAX($O$4:O120)+1, ""))</f>
        <v/>
      </c>
      <c r="P121" s="101" t="str">
        <f t="shared" si="1"/>
        <v>Q2</v>
      </c>
    </row>
    <row r="122" ht="21.75" customHeight="1">
      <c r="A122" s="109" t="s">
        <v>521</v>
      </c>
      <c r="B122" s="110" t="s">
        <v>517</v>
      </c>
      <c r="C122" s="111" t="s">
        <v>493</v>
      </c>
      <c r="D122" s="111" t="s">
        <v>138</v>
      </c>
      <c r="E122" s="124" t="s">
        <v>179</v>
      </c>
      <c r="F122" s="124" t="s">
        <v>499</v>
      </c>
      <c r="G122" s="124" t="s">
        <v>522</v>
      </c>
      <c r="H122" s="113">
        <v>43900.0</v>
      </c>
      <c r="I122" s="111" t="s">
        <v>261</v>
      </c>
      <c r="J122" s="111" t="s">
        <v>262</v>
      </c>
      <c r="K122" s="111" t="s">
        <v>233</v>
      </c>
      <c r="L122" s="115">
        <v>2026.0</v>
      </c>
      <c r="M122" s="111" t="s">
        <v>494</v>
      </c>
      <c r="N122" s="124"/>
      <c r="O122" s="116" t="str">
        <f>IF(ISBLANK(A122), "", IF(AND(LOWER(TRIM(K122))=LOWER(TRIM(PANEL!$L$2)), L122=PANEL!$I$2), MAX($O$4:O121)+1, ""))</f>
        <v/>
      </c>
      <c r="P122" s="100" t="str">
        <f t="shared" si="1"/>
        <v>Q2</v>
      </c>
    </row>
    <row r="123" ht="21.75" customHeight="1">
      <c r="A123" s="117" t="s">
        <v>523</v>
      </c>
      <c r="B123" s="118" t="s">
        <v>517</v>
      </c>
      <c r="C123" s="119" t="s">
        <v>493</v>
      </c>
      <c r="D123" s="119" t="s">
        <v>138</v>
      </c>
      <c r="E123" s="120" t="s">
        <v>155</v>
      </c>
      <c r="F123" s="120" t="s">
        <v>161</v>
      </c>
      <c r="G123" s="120" t="s">
        <v>411</v>
      </c>
      <c r="H123" s="121">
        <v>30000.0</v>
      </c>
      <c r="I123" s="119" t="s">
        <v>261</v>
      </c>
      <c r="J123" s="119" t="s">
        <v>262</v>
      </c>
      <c r="K123" s="119" t="s">
        <v>233</v>
      </c>
      <c r="L123" s="122">
        <v>2026.0</v>
      </c>
      <c r="M123" s="119" t="s">
        <v>494</v>
      </c>
      <c r="N123" s="120"/>
      <c r="O123" s="123" t="str">
        <f>IF(ISBLANK(A123), "", IF(AND(LOWER(TRIM(K123))=LOWER(TRIM(PANEL!$L$2)), L123=PANEL!$I$2), MAX($O$4:O122)+1, ""))</f>
        <v/>
      </c>
      <c r="P123" s="101" t="str">
        <f t="shared" si="1"/>
        <v>Q2</v>
      </c>
    </row>
    <row r="124" ht="21.75" customHeight="1">
      <c r="A124" s="109" t="s">
        <v>524</v>
      </c>
      <c r="B124" s="110" t="s">
        <v>517</v>
      </c>
      <c r="C124" s="111" t="s">
        <v>493</v>
      </c>
      <c r="D124" s="111" t="s">
        <v>138</v>
      </c>
      <c r="E124" s="124" t="s">
        <v>173</v>
      </c>
      <c r="F124" s="124" t="s">
        <v>501</v>
      </c>
      <c r="G124" s="124" t="s">
        <v>50</v>
      </c>
      <c r="H124" s="113">
        <v>900000.0</v>
      </c>
      <c r="I124" s="111" t="s">
        <v>261</v>
      </c>
      <c r="J124" s="111" t="s">
        <v>262</v>
      </c>
      <c r="K124" s="111" t="s">
        <v>233</v>
      </c>
      <c r="L124" s="115">
        <v>2026.0</v>
      </c>
      <c r="M124" s="111" t="s">
        <v>494</v>
      </c>
      <c r="N124" s="124"/>
      <c r="O124" s="116" t="str">
        <f>IF(ISBLANK(A124), "", IF(AND(LOWER(TRIM(K124))=LOWER(TRIM(PANEL!$L$2)), L124=PANEL!$I$2), MAX($O$4:O123)+1, ""))</f>
        <v/>
      </c>
      <c r="P124" s="100" t="str">
        <f t="shared" si="1"/>
        <v>Q2</v>
      </c>
    </row>
    <row r="125" ht="21.75" customHeight="1">
      <c r="A125" s="117" t="s">
        <v>525</v>
      </c>
      <c r="B125" s="118" t="s">
        <v>526</v>
      </c>
      <c r="C125" s="119" t="s">
        <v>493</v>
      </c>
      <c r="D125" s="119" t="s">
        <v>191</v>
      </c>
      <c r="E125" s="120" t="s">
        <v>192</v>
      </c>
      <c r="F125" s="120" t="s">
        <v>193</v>
      </c>
      <c r="G125" s="120" t="s">
        <v>194</v>
      </c>
      <c r="H125" s="121">
        <v>3519208.0</v>
      </c>
      <c r="I125" s="119" t="s">
        <v>261</v>
      </c>
      <c r="J125" s="119" t="s">
        <v>262</v>
      </c>
      <c r="K125" s="119" t="s">
        <v>233</v>
      </c>
      <c r="L125" s="122">
        <v>2026.0</v>
      </c>
      <c r="M125" s="119" t="s">
        <v>494</v>
      </c>
      <c r="N125" s="120"/>
      <c r="O125" s="123" t="str">
        <f>IF(ISBLANK(A125), "", IF(AND(LOWER(TRIM(K125))=LOWER(TRIM(PANEL!$L$2)), L125=PANEL!$I$2), MAX($O$4:O124)+1, ""))</f>
        <v/>
      </c>
      <c r="P125" s="101" t="str">
        <f t="shared" si="1"/>
        <v>Q1</v>
      </c>
    </row>
    <row r="126" ht="21.75" customHeight="1">
      <c r="A126" s="109" t="s">
        <v>527</v>
      </c>
      <c r="B126" s="110" t="s">
        <v>526</v>
      </c>
      <c r="C126" s="111" t="s">
        <v>493</v>
      </c>
      <c r="D126" s="111" t="s">
        <v>138</v>
      </c>
      <c r="E126" s="124" t="s">
        <v>179</v>
      </c>
      <c r="F126" s="124" t="s">
        <v>499</v>
      </c>
      <c r="G126" s="124" t="s">
        <v>400</v>
      </c>
      <c r="H126" s="113">
        <v>43000.0</v>
      </c>
      <c r="I126" s="111" t="s">
        <v>261</v>
      </c>
      <c r="J126" s="111" t="s">
        <v>262</v>
      </c>
      <c r="K126" s="111" t="s">
        <v>233</v>
      </c>
      <c r="L126" s="115">
        <v>2026.0</v>
      </c>
      <c r="M126" s="111" t="s">
        <v>494</v>
      </c>
      <c r="N126" s="124"/>
      <c r="O126" s="116" t="str">
        <f>IF(ISBLANK(A126), "", IF(AND(LOWER(TRIM(K126))=LOWER(TRIM(PANEL!$L$2)), L126=PANEL!$I$2), MAX($O$4:O125)+1, ""))</f>
        <v/>
      </c>
      <c r="P126" s="100" t="str">
        <f t="shared" si="1"/>
        <v>Q1</v>
      </c>
    </row>
    <row r="127" ht="21.75" customHeight="1">
      <c r="A127" s="117" t="s">
        <v>528</v>
      </c>
      <c r="B127" s="118" t="s">
        <v>526</v>
      </c>
      <c r="C127" s="119" t="s">
        <v>493</v>
      </c>
      <c r="D127" s="119" t="s">
        <v>138</v>
      </c>
      <c r="E127" s="120" t="s">
        <v>139</v>
      </c>
      <c r="F127" s="120" t="s">
        <v>507</v>
      </c>
      <c r="G127" s="120" t="s">
        <v>333</v>
      </c>
      <c r="H127" s="121">
        <v>10000.0</v>
      </c>
      <c r="I127" s="119" t="s">
        <v>261</v>
      </c>
      <c r="J127" s="119" t="s">
        <v>262</v>
      </c>
      <c r="K127" s="119" t="s">
        <v>233</v>
      </c>
      <c r="L127" s="122">
        <v>2026.0</v>
      </c>
      <c r="M127" s="119" t="s">
        <v>494</v>
      </c>
      <c r="N127" s="120"/>
      <c r="O127" s="123" t="str">
        <f>IF(ISBLANK(A127), "", IF(AND(LOWER(TRIM(K127))=LOWER(TRIM(PANEL!$L$2)), L127=PANEL!$I$2), MAX($O$4:O126)+1, ""))</f>
        <v/>
      </c>
      <c r="P127" s="101" t="str">
        <f t="shared" si="1"/>
        <v>Q1</v>
      </c>
    </row>
    <row r="128" ht="21.75" customHeight="1">
      <c r="A128" s="109" t="s">
        <v>529</v>
      </c>
      <c r="B128" s="110" t="s">
        <v>526</v>
      </c>
      <c r="C128" s="111" t="s">
        <v>493</v>
      </c>
      <c r="D128" s="111" t="s">
        <v>138</v>
      </c>
      <c r="E128" s="124" t="s">
        <v>155</v>
      </c>
      <c r="F128" s="124" t="s">
        <v>161</v>
      </c>
      <c r="G128" s="124" t="s">
        <v>411</v>
      </c>
      <c r="H128" s="113">
        <v>35000.0</v>
      </c>
      <c r="I128" s="111" t="s">
        <v>261</v>
      </c>
      <c r="J128" s="111" t="s">
        <v>262</v>
      </c>
      <c r="K128" s="111" t="s">
        <v>233</v>
      </c>
      <c r="L128" s="115">
        <v>2026.0</v>
      </c>
      <c r="M128" s="111" t="s">
        <v>494</v>
      </c>
      <c r="N128" s="124"/>
      <c r="O128" s="116" t="str">
        <f>IF(ISBLANK(A128), "", IF(AND(LOWER(TRIM(K128))=LOWER(TRIM(PANEL!$L$2)), L128=PANEL!$I$2), MAX($O$4:O127)+1, ""))</f>
        <v/>
      </c>
      <c r="P128" s="100" t="str">
        <f t="shared" si="1"/>
        <v>Q1</v>
      </c>
    </row>
    <row r="129" ht="21.75" customHeight="1">
      <c r="A129" s="117" t="s">
        <v>530</v>
      </c>
      <c r="B129" s="118" t="s">
        <v>526</v>
      </c>
      <c r="C129" s="119" t="s">
        <v>493</v>
      </c>
      <c r="D129" s="119" t="s">
        <v>138</v>
      </c>
      <c r="E129" s="120" t="s">
        <v>155</v>
      </c>
      <c r="F129" s="120" t="s">
        <v>156</v>
      </c>
      <c r="G129" s="120" t="s">
        <v>436</v>
      </c>
      <c r="H129" s="121">
        <v>60000.0</v>
      </c>
      <c r="I129" s="119" t="s">
        <v>261</v>
      </c>
      <c r="J129" s="119" t="s">
        <v>262</v>
      </c>
      <c r="K129" s="119" t="s">
        <v>233</v>
      </c>
      <c r="L129" s="122">
        <v>2026.0</v>
      </c>
      <c r="M129" s="119" t="s">
        <v>494</v>
      </c>
      <c r="N129" s="120"/>
      <c r="O129" s="123" t="str">
        <f>IF(ISBLANK(A129), "", IF(AND(LOWER(TRIM(K129))=LOWER(TRIM(PANEL!$L$2)), L129=PANEL!$I$2), MAX($O$4:O128)+1, ""))</f>
        <v/>
      </c>
      <c r="P129" s="101" t="str">
        <f t="shared" si="1"/>
        <v>Q1</v>
      </c>
    </row>
    <row r="130" ht="21.75" customHeight="1">
      <c r="A130" s="109" t="s">
        <v>531</v>
      </c>
      <c r="B130" s="110" t="s">
        <v>526</v>
      </c>
      <c r="C130" s="111" t="s">
        <v>493</v>
      </c>
      <c r="D130" s="111" t="s">
        <v>138</v>
      </c>
      <c r="E130" s="124" t="s">
        <v>258</v>
      </c>
      <c r="F130" s="124" t="s">
        <v>259</v>
      </c>
      <c r="G130" s="124" t="s">
        <v>477</v>
      </c>
      <c r="H130" s="113">
        <v>40000.0</v>
      </c>
      <c r="I130" s="111" t="s">
        <v>261</v>
      </c>
      <c r="J130" s="111" t="s">
        <v>262</v>
      </c>
      <c r="K130" s="111" t="s">
        <v>233</v>
      </c>
      <c r="L130" s="115">
        <v>2026.0</v>
      </c>
      <c r="M130" s="111" t="s">
        <v>494</v>
      </c>
      <c r="N130" s="124"/>
      <c r="O130" s="116" t="str">
        <f>IF(ISBLANK(A130), "", IF(AND(LOWER(TRIM(K130))=LOWER(TRIM(PANEL!$L$2)), L130=PANEL!$I$2), MAX($O$4:O129)+1, ""))</f>
        <v/>
      </c>
      <c r="P130" s="100" t="str">
        <f t="shared" si="1"/>
        <v>Q1</v>
      </c>
    </row>
    <row r="131" ht="21.75" customHeight="1">
      <c r="A131" s="117" t="s">
        <v>532</v>
      </c>
      <c r="B131" s="118" t="s">
        <v>526</v>
      </c>
      <c r="C131" s="119" t="s">
        <v>493</v>
      </c>
      <c r="D131" s="119" t="s">
        <v>138</v>
      </c>
      <c r="E131" s="120" t="s">
        <v>533</v>
      </c>
      <c r="F131" s="120" t="s">
        <v>534</v>
      </c>
      <c r="G131" s="120" t="s">
        <v>535</v>
      </c>
      <c r="H131" s="121">
        <v>110000.0</v>
      </c>
      <c r="I131" s="119" t="s">
        <v>261</v>
      </c>
      <c r="J131" s="119" t="s">
        <v>262</v>
      </c>
      <c r="K131" s="119" t="s">
        <v>233</v>
      </c>
      <c r="L131" s="122">
        <v>2026.0</v>
      </c>
      <c r="M131" s="119" t="s">
        <v>494</v>
      </c>
      <c r="N131" s="120"/>
      <c r="O131" s="123" t="str">
        <f>IF(ISBLANK(A131), "", IF(AND(LOWER(TRIM(K131))=LOWER(TRIM(PANEL!$L$2)), L131=PANEL!$I$2), MAX($O$4:O130)+1, ""))</f>
        <v/>
      </c>
      <c r="P131" s="101" t="str">
        <f t="shared" si="1"/>
        <v>Q1</v>
      </c>
    </row>
    <row r="132" ht="21.75" customHeight="1">
      <c r="A132" s="109" t="s">
        <v>536</v>
      </c>
      <c r="B132" s="110" t="s">
        <v>526</v>
      </c>
      <c r="C132" s="111" t="s">
        <v>493</v>
      </c>
      <c r="D132" s="111" t="s">
        <v>138</v>
      </c>
      <c r="E132" s="124" t="s">
        <v>62</v>
      </c>
      <c r="F132" s="124" t="s">
        <v>168</v>
      </c>
      <c r="G132" s="124" t="s">
        <v>537</v>
      </c>
      <c r="H132" s="113">
        <v>87000.0</v>
      </c>
      <c r="I132" s="111" t="s">
        <v>261</v>
      </c>
      <c r="J132" s="111" t="s">
        <v>262</v>
      </c>
      <c r="K132" s="111" t="s">
        <v>233</v>
      </c>
      <c r="L132" s="115">
        <v>2026.0</v>
      </c>
      <c r="M132" s="111" t="s">
        <v>494</v>
      </c>
      <c r="N132" s="124"/>
      <c r="O132" s="116" t="str">
        <f>IF(ISBLANK(A132), "", IF(AND(LOWER(TRIM(K132))=LOWER(TRIM(PANEL!$L$2)), L132=PANEL!$I$2), MAX($O$4:O131)+1, ""))</f>
        <v/>
      </c>
      <c r="P132" s="100" t="str">
        <f t="shared" si="1"/>
        <v>Q1</v>
      </c>
    </row>
    <row r="133" ht="21.75" customHeight="1">
      <c r="A133" s="117" t="s">
        <v>538</v>
      </c>
      <c r="B133" s="118" t="s">
        <v>526</v>
      </c>
      <c r="C133" s="119" t="s">
        <v>493</v>
      </c>
      <c r="D133" s="119" t="s">
        <v>138</v>
      </c>
      <c r="E133" s="120" t="s">
        <v>179</v>
      </c>
      <c r="F133" s="120" t="s">
        <v>499</v>
      </c>
      <c r="G133" s="120" t="s">
        <v>471</v>
      </c>
      <c r="H133" s="121">
        <v>62000.0</v>
      </c>
      <c r="I133" s="119" t="s">
        <v>261</v>
      </c>
      <c r="J133" s="119" t="s">
        <v>262</v>
      </c>
      <c r="K133" s="119" t="s">
        <v>233</v>
      </c>
      <c r="L133" s="122">
        <v>2026.0</v>
      </c>
      <c r="M133" s="119" t="s">
        <v>494</v>
      </c>
      <c r="N133" s="120"/>
      <c r="O133" s="123" t="str">
        <f>IF(ISBLANK(A133), "", IF(AND(LOWER(TRIM(K133))=LOWER(TRIM(PANEL!$L$2)), L133=PANEL!$I$2), MAX($O$4:O132)+1, ""))</f>
        <v/>
      </c>
      <c r="P133" s="101" t="str">
        <f t="shared" si="1"/>
        <v>Q1</v>
      </c>
    </row>
    <row r="134" ht="21.75" customHeight="1">
      <c r="A134" s="109" t="s">
        <v>539</v>
      </c>
      <c r="B134" s="110" t="s">
        <v>526</v>
      </c>
      <c r="C134" s="111" t="s">
        <v>493</v>
      </c>
      <c r="D134" s="111" t="s">
        <v>138</v>
      </c>
      <c r="E134" s="124" t="s">
        <v>62</v>
      </c>
      <c r="F134" s="124" t="s">
        <v>168</v>
      </c>
      <c r="G134" s="124" t="s">
        <v>540</v>
      </c>
      <c r="H134" s="113">
        <v>450000.0</v>
      </c>
      <c r="I134" s="111" t="s">
        <v>261</v>
      </c>
      <c r="J134" s="111" t="s">
        <v>262</v>
      </c>
      <c r="K134" s="111" t="s">
        <v>233</v>
      </c>
      <c r="L134" s="115">
        <v>2026.0</v>
      </c>
      <c r="M134" s="111" t="s">
        <v>494</v>
      </c>
      <c r="N134" s="124"/>
      <c r="O134" s="116" t="str">
        <f>IF(ISBLANK(A134), "", IF(AND(LOWER(TRIM(K134))=LOWER(TRIM(PANEL!$L$2)), L134=PANEL!$I$2), MAX($O$4:O133)+1, ""))</f>
        <v/>
      </c>
      <c r="P134" s="100" t="str">
        <f t="shared" si="1"/>
        <v>Q1</v>
      </c>
    </row>
    <row r="135" ht="21.75" customHeight="1">
      <c r="A135" s="117" t="s">
        <v>541</v>
      </c>
      <c r="B135" s="118" t="s">
        <v>526</v>
      </c>
      <c r="C135" s="119" t="s">
        <v>493</v>
      </c>
      <c r="D135" s="119" t="s">
        <v>138</v>
      </c>
      <c r="E135" s="120" t="s">
        <v>48</v>
      </c>
      <c r="F135" s="120" t="s">
        <v>168</v>
      </c>
      <c r="G135" s="120" t="s">
        <v>364</v>
      </c>
      <c r="H135" s="121">
        <v>793000.0</v>
      </c>
      <c r="I135" s="119" t="s">
        <v>261</v>
      </c>
      <c r="J135" s="119" t="s">
        <v>262</v>
      </c>
      <c r="K135" s="119" t="s">
        <v>233</v>
      </c>
      <c r="L135" s="122">
        <v>2026.0</v>
      </c>
      <c r="M135" s="119" t="s">
        <v>494</v>
      </c>
      <c r="N135" s="120"/>
      <c r="O135" s="123" t="str">
        <f>IF(ISBLANK(A135), "", IF(AND(LOWER(TRIM(K135))=LOWER(TRIM(PANEL!$L$2)), L135=PANEL!$I$2), MAX($O$4:O134)+1, ""))</f>
        <v/>
      </c>
      <c r="P135" s="101" t="str">
        <f t="shared" si="1"/>
        <v>Q1</v>
      </c>
    </row>
    <row r="136" ht="21.75" customHeight="1">
      <c r="A136" s="109" t="s">
        <v>542</v>
      </c>
      <c r="B136" s="110" t="s">
        <v>526</v>
      </c>
      <c r="C136" s="111" t="s">
        <v>493</v>
      </c>
      <c r="D136" s="111" t="s">
        <v>138</v>
      </c>
      <c r="E136" s="124" t="s">
        <v>62</v>
      </c>
      <c r="F136" s="124" t="s">
        <v>168</v>
      </c>
      <c r="G136" s="124" t="s">
        <v>543</v>
      </c>
      <c r="H136" s="113">
        <v>221912.0</v>
      </c>
      <c r="I136" s="111" t="s">
        <v>261</v>
      </c>
      <c r="J136" s="111" t="s">
        <v>262</v>
      </c>
      <c r="K136" s="111" t="s">
        <v>233</v>
      </c>
      <c r="L136" s="115">
        <v>2026.0</v>
      </c>
      <c r="M136" s="111" t="s">
        <v>494</v>
      </c>
      <c r="N136" s="124"/>
      <c r="O136" s="116" t="str">
        <f>IF(ISBLANK(A136), "", IF(AND(LOWER(TRIM(K136))=LOWER(TRIM(PANEL!$L$2)), L136=PANEL!$I$2), MAX($O$4:O135)+1, ""))</f>
        <v/>
      </c>
      <c r="P136" s="100" t="str">
        <f t="shared" si="1"/>
        <v>Q1</v>
      </c>
    </row>
    <row r="137" ht="21.75" customHeight="1">
      <c r="A137" s="117" t="s">
        <v>544</v>
      </c>
      <c r="B137" s="118" t="s">
        <v>526</v>
      </c>
      <c r="C137" s="119" t="s">
        <v>493</v>
      </c>
      <c r="D137" s="119" t="s">
        <v>138</v>
      </c>
      <c r="E137" s="120" t="s">
        <v>179</v>
      </c>
      <c r="F137" s="120" t="s">
        <v>499</v>
      </c>
      <c r="G137" s="120" t="s">
        <v>467</v>
      </c>
      <c r="H137" s="121">
        <v>60000.0</v>
      </c>
      <c r="I137" s="119" t="s">
        <v>261</v>
      </c>
      <c r="J137" s="119" t="s">
        <v>262</v>
      </c>
      <c r="K137" s="119" t="s">
        <v>233</v>
      </c>
      <c r="L137" s="122">
        <v>2026.0</v>
      </c>
      <c r="M137" s="119" t="s">
        <v>494</v>
      </c>
      <c r="N137" s="120"/>
      <c r="O137" s="123" t="str">
        <f>IF(ISBLANK(A137), "", IF(AND(LOWER(TRIM(K137))=LOWER(TRIM(PANEL!$L$2)), L137=PANEL!$I$2), MAX($O$4:O136)+1, ""))</f>
        <v/>
      </c>
      <c r="P137" s="101" t="str">
        <f t="shared" si="1"/>
        <v>Q1</v>
      </c>
    </row>
    <row r="138" ht="21.75" customHeight="1">
      <c r="A138" s="109" t="s">
        <v>545</v>
      </c>
      <c r="B138" s="110" t="s">
        <v>526</v>
      </c>
      <c r="C138" s="111" t="s">
        <v>493</v>
      </c>
      <c r="D138" s="111" t="s">
        <v>138</v>
      </c>
      <c r="E138" s="124" t="s">
        <v>533</v>
      </c>
      <c r="F138" s="124" t="s">
        <v>534</v>
      </c>
      <c r="G138" s="124" t="s">
        <v>546</v>
      </c>
      <c r="H138" s="113">
        <v>130000.0</v>
      </c>
      <c r="I138" s="111" t="s">
        <v>261</v>
      </c>
      <c r="J138" s="111" t="s">
        <v>262</v>
      </c>
      <c r="K138" s="111" t="s">
        <v>233</v>
      </c>
      <c r="L138" s="115">
        <v>2026.0</v>
      </c>
      <c r="M138" s="111" t="s">
        <v>494</v>
      </c>
      <c r="N138" s="124"/>
      <c r="O138" s="116" t="str">
        <f>IF(ISBLANK(A138), "", IF(AND(LOWER(TRIM(K138))=LOWER(TRIM(PANEL!$L$2)), L138=PANEL!$I$2), MAX($O$4:O137)+1, ""))</f>
        <v/>
      </c>
      <c r="P138" s="100" t="str">
        <f t="shared" si="1"/>
        <v>Q1</v>
      </c>
    </row>
    <row r="139" ht="21.75" customHeight="1">
      <c r="A139" s="117" t="s">
        <v>547</v>
      </c>
      <c r="B139" s="118" t="s">
        <v>526</v>
      </c>
      <c r="C139" s="119" t="s">
        <v>493</v>
      </c>
      <c r="D139" s="119" t="s">
        <v>138</v>
      </c>
      <c r="E139" s="120" t="s">
        <v>533</v>
      </c>
      <c r="F139" s="120" t="s">
        <v>534</v>
      </c>
      <c r="G139" s="120" t="s">
        <v>548</v>
      </c>
      <c r="H139" s="121">
        <v>383000.0</v>
      </c>
      <c r="I139" s="119" t="s">
        <v>261</v>
      </c>
      <c r="J139" s="119" t="s">
        <v>262</v>
      </c>
      <c r="K139" s="119" t="s">
        <v>233</v>
      </c>
      <c r="L139" s="122">
        <v>2026.0</v>
      </c>
      <c r="M139" s="119" t="s">
        <v>494</v>
      </c>
      <c r="N139" s="120"/>
      <c r="O139" s="123" t="str">
        <f>IF(ISBLANK(A139), "", IF(AND(LOWER(TRIM(K139))=LOWER(TRIM(PANEL!$L$2)), L139=PANEL!$I$2), MAX($O$4:O138)+1, ""))</f>
        <v/>
      </c>
      <c r="P139" s="101" t="str">
        <f t="shared" si="1"/>
        <v>Q1</v>
      </c>
    </row>
    <row r="140" ht="21.75" customHeight="1">
      <c r="A140" s="109" t="s">
        <v>549</v>
      </c>
      <c r="B140" s="110" t="s">
        <v>526</v>
      </c>
      <c r="C140" s="111" t="s">
        <v>493</v>
      </c>
      <c r="D140" s="111" t="s">
        <v>138</v>
      </c>
      <c r="E140" s="124" t="s">
        <v>179</v>
      </c>
      <c r="F140" s="124" t="s">
        <v>499</v>
      </c>
      <c r="G140" s="124" t="s">
        <v>515</v>
      </c>
      <c r="H140" s="113">
        <v>134000.0</v>
      </c>
      <c r="I140" s="111" t="s">
        <v>261</v>
      </c>
      <c r="J140" s="111" t="s">
        <v>262</v>
      </c>
      <c r="K140" s="111" t="s">
        <v>233</v>
      </c>
      <c r="L140" s="115">
        <v>2026.0</v>
      </c>
      <c r="M140" s="111" t="s">
        <v>494</v>
      </c>
      <c r="N140" s="124"/>
      <c r="O140" s="116" t="str">
        <f>IF(ISBLANK(A140), "", IF(AND(LOWER(TRIM(K140))=LOWER(TRIM(PANEL!$L$2)), L140=PANEL!$I$2), MAX($O$4:O139)+1, ""))</f>
        <v/>
      </c>
      <c r="P140" s="100" t="str">
        <f t="shared" si="1"/>
        <v>Q1</v>
      </c>
    </row>
    <row r="141" ht="21.75" customHeight="1">
      <c r="A141" s="117" t="s">
        <v>550</v>
      </c>
      <c r="B141" s="118" t="s">
        <v>551</v>
      </c>
      <c r="C141" s="119" t="s">
        <v>552</v>
      </c>
      <c r="D141" s="119" t="s">
        <v>191</v>
      </c>
      <c r="E141" s="120" t="s">
        <v>192</v>
      </c>
      <c r="F141" s="120" t="s">
        <v>193</v>
      </c>
      <c r="G141" s="120" t="s">
        <v>194</v>
      </c>
      <c r="H141" s="121">
        <v>1526130.0</v>
      </c>
      <c r="I141" s="119" t="s">
        <v>195</v>
      </c>
      <c r="J141" s="119" t="s">
        <v>291</v>
      </c>
      <c r="K141" s="119" t="s">
        <v>226</v>
      </c>
      <c r="L141" s="122">
        <v>2026.0</v>
      </c>
      <c r="M141" s="119" t="s">
        <v>159</v>
      </c>
      <c r="N141" s="120"/>
      <c r="O141" s="123" t="str">
        <f>IF(ISBLANK(A141), "", IF(AND(LOWER(TRIM(K141))=LOWER(TRIM(PANEL!$L$2)), L141=PANEL!$I$2), MAX($O$4:O140)+1, ""))</f>
        <v/>
      </c>
      <c r="P141" s="101" t="str">
        <f t="shared" si="1"/>
        <v>Q2</v>
      </c>
    </row>
    <row r="142" ht="21.75" customHeight="1">
      <c r="A142" s="109" t="s">
        <v>553</v>
      </c>
      <c r="B142" s="110" t="s">
        <v>551</v>
      </c>
      <c r="C142" s="111" t="s">
        <v>493</v>
      </c>
      <c r="D142" s="111" t="s">
        <v>138</v>
      </c>
      <c r="E142" s="124" t="s">
        <v>155</v>
      </c>
      <c r="F142" s="124" t="s">
        <v>156</v>
      </c>
      <c r="G142" s="124" t="s">
        <v>436</v>
      </c>
      <c r="H142" s="113">
        <v>60000.0</v>
      </c>
      <c r="I142" s="111" t="s">
        <v>261</v>
      </c>
      <c r="J142" s="111" t="s">
        <v>262</v>
      </c>
      <c r="K142" s="111" t="s">
        <v>226</v>
      </c>
      <c r="L142" s="115">
        <v>2026.0</v>
      </c>
      <c r="M142" s="111" t="s">
        <v>494</v>
      </c>
      <c r="N142" s="124"/>
      <c r="O142" s="116" t="str">
        <f>IF(ISBLANK(A142), "", IF(AND(LOWER(TRIM(K142))=LOWER(TRIM(PANEL!$L$2)), L142=PANEL!$I$2), MAX($O$4:O141)+1, ""))</f>
        <v/>
      </c>
      <c r="P142" s="100" t="str">
        <f t="shared" si="1"/>
        <v>Q2</v>
      </c>
    </row>
    <row r="143" ht="21.75" customHeight="1">
      <c r="A143" s="117" t="s">
        <v>554</v>
      </c>
      <c r="B143" s="118" t="s">
        <v>551</v>
      </c>
      <c r="C143" s="119" t="s">
        <v>493</v>
      </c>
      <c r="D143" s="119" t="s">
        <v>138</v>
      </c>
      <c r="E143" s="120" t="s">
        <v>48</v>
      </c>
      <c r="F143" s="120" t="s">
        <v>168</v>
      </c>
      <c r="G143" s="120" t="s">
        <v>364</v>
      </c>
      <c r="H143" s="121">
        <v>200000.0</v>
      </c>
      <c r="I143" s="119" t="s">
        <v>261</v>
      </c>
      <c r="J143" s="119" t="s">
        <v>262</v>
      </c>
      <c r="K143" s="119" t="s">
        <v>226</v>
      </c>
      <c r="L143" s="122">
        <v>2026.0</v>
      </c>
      <c r="M143" s="119" t="s">
        <v>494</v>
      </c>
      <c r="N143" s="120"/>
      <c r="O143" s="123" t="str">
        <f>IF(ISBLANK(A143), "", IF(AND(LOWER(TRIM(K143))=LOWER(TRIM(PANEL!$L$2)), L143=PANEL!$I$2), MAX($O$4:O142)+1, ""))</f>
        <v/>
      </c>
      <c r="P143" s="101" t="str">
        <f t="shared" si="1"/>
        <v>Q2</v>
      </c>
    </row>
    <row r="144" ht="21.75" customHeight="1">
      <c r="A144" s="109" t="s">
        <v>555</v>
      </c>
      <c r="B144" s="110" t="s">
        <v>551</v>
      </c>
      <c r="C144" s="111" t="s">
        <v>493</v>
      </c>
      <c r="D144" s="111" t="s">
        <v>138</v>
      </c>
      <c r="E144" s="124" t="s">
        <v>155</v>
      </c>
      <c r="F144" s="124" t="s">
        <v>161</v>
      </c>
      <c r="G144" s="124" t="s">
        <v>411</v>
      </c>
      <c r="H144" s="113">
        <v>30000.0</v>
      </c>
      <c r="I144" s="111" t="s">
        <v>261</v>
      </c>
      <c r="J144" s="111" t="s">
        <v>262</v>
      </c>
      <c r="K144" s="111" t="s">
        <v>226</v>
      </c>
      <c r="L144" s="115">
        <v>2026.0</v>
      </c>
      <c r="M144" s="111" t="s">
        <v>494</v>
      </c>
      <c r="N144" s="124"/>
      <c r="O144" s="116" t="str">
        <f>IF(ISBLANK(A144), "", IF(AND(LOWER(TRIM(K144))=LOWER(TRIM(PANEL!$L$2)), L144=PANEL!$I$2), MAX($O$4:O143)+1, ""))</f>
        <v/>
      </c>
      <c r="P144" s="100" t="str">
        <f t="shared" si="1"/>
        <v>Q2</v>
      </c>
    </row>
    <row r="145" ht="21.75" customHeight="1">
      <c r="A145" s="117" t="s">
        <v>556</v>
      </c>
      <c r="B145" s="118" t="s">
        <v>551</v>
      </c>
      <c r="C145" s="119" t="s">
        <v>493</v>
      </c>
      <c r="D145" s="119" t="s">
        <v>138</v>
      </c>
      <c r="E145" s="120" t="s">
        <v>179</v>
      </c>
      <c r="F145" s="120" t="s">
        <v>499</v>
      </c>
      <c r="G145" s="120" t="s">
        <v>557</v>
      </c>
      <c r="H145" s="121">
        <v>43900.0</v>
      </c>
      <c r="I145" s="119" t="s">
        <v>261</v>
      </c>
      <c r="J145" s="119" t="s">
        <v>262</v>
      </c>
      <c r="K145" s="119" t="s">
        <v>226</v>
      </c>
      <c r="L145" s="122">
        <v>2026.0</v>
      </c>
      <c r="M145" s="119" t="s">
        <v>494</v>
      </c>
      <c r="N145" s="120"/>
      <c r="O145" s="123" t="str">
        <f>IF(ISBLANK(A145), "", IF(AND(LOWER(TRIM(K145))=LOWER(TRIM(PANEL!$L$2)), L145=PANEL!$I$2), MAX($O$4:O144)+1, ""))</f>
        <v/>
      </c>
      <c r="P145" s="101" t="str">
        <f t="shared" si="1"/>
        <v>Q2</v>
      </c>
    </row>
    <row r="146" ht="21.75" customHeight="1">
      <c r="A146" s="109" t="s">
        <v>558</v>
      </c>
      <c r="B146" s="110" t="s">
        <v>551</v>
      </c>
      <c r="C146" s="111" t="s">
        <v>493</v>
      </c>
      <c r="D146" s="111" t="s">
        <v>138</v>
      </c>
      <c r="E146" s="124" t="s">
        <v>533</v>
      </c>
      <c r="F146" s="124" t="s">
        <v>534</v>
      </c>
      <c r="G146" s="124" t="s">
        <v>559</v>
      </c>
      <c r="H146" s="113">
        <v>65000.0</v>
      </c>
      <c r="I146" s="111" t="s">
        <v>261</v>
      </c>
      <c r="J146" s="111" t="s">
        <v>262</v>
      </c>
      <c r="K146" s="111" t="s">
        <v>226</v>
      </c>
      <c r="L146" s="115">
        <v>2026.0</v>
      </c>
      <c r="M146" s="111" t="s">
        <v>494</v>
      </c>
      <c r="N146" s="124"/>
      <c r="O146" s="116" t="str">
        <f>IF(ISBLANK(A146), "", IF(AND(LOWER(TRIM(K146))=LOWER(TRIM(PANEL!$L$2)), L146=PANEL!$I$2), MAX($O$4:O145)+1, ""))</f>
        <v/>
      </c>
      <c r="P146" s="100" t="str">
        <f t="shared" si="1"/>
        <v>Q2</v>
      </c>
    </row>
    <row r="147" ht="21.75" customHeight="1">
      <c r="A147" s="117" t="s">
        <v>560</v>
      </c>
      <c r="B147" s="118" t="s">
        <v>551</v>
      </c>
      <c r="C147" s="119" t="s">
        <v>493</v>
      </c>
      <c r="D147" s="119" t="s">
        <v>138</v>
      </c>
      <c r="E147" s="120" t="s">
        <v>173</v>
      </c>
      <c r="F147" s="120" t="s">
        <v>501</v>
      </c>
      <c r="G147" s="120" t="s">
        <v>50</v>
      </c>
      <c r="H147" s="121">
        <v>900000.0</v>
      </c>
      <c r="I147" s="119" t="s">
        <v>261</v>
      </c>
      <c r="J147" s="119" t="s">
        <v>262</v>
      </c>
      <c r="K147" s="119" t="s">
        <v>226</v>
      </c>
      <c r="L147" s="122">
        <v>2026.0</v>
      </c>
      <c r="M147" s="119" t="s">
        <v>494</v>
      </c>
      <c r="N147" s="120"/>
      <c r="O147" s="123" t="str">
        <f>IF(ISBLANK(A147), "", IF(AND(LOWER(TRIM(K147))=LOWER(TRIM(PANEL!$L$2)), L147=PANEL!$I$2), MAX($O$4:O146)+1, ""))</f>
        <v/>
      </c>
      <c r="P147" s="101" t="str">
        <f t="shared" si="1"/>
        <v>Q2</v>
      </c>
    </row>
    <row r="148" ht="21.75" customHeight="1">
      <c r="A148" s="109" t="s">
        <v>561</v>
      </c>
      <c r="B148" s="110" t="s">
        <v>562</v>
      </c>
      <c r="C148" s="111" t="s">
        <v>493</v>
      </c>
      <c r="D148" s="111" t="s">
        <v>191</v>
      </c>
      <c r="E148" s="124" t="s">
        <v>192</v>
      </c>
      <c r="F148" s="124" t="s">
        <v>193</v>
      </c>
      <c r="G148" s="124" t="s">
        <v>194</v>
      </c>
      <c r="H148" s="113">
        <v>1637623.0</v>
      </c>
      <c r="I148" s="111" t="s">
        <v>261</v>
      </c>
      <c r="J148" s="111" t="s">
        <v>262</v>
      </c>
      <c r="K148" s="111" t="s">
        <v>226</v>
      </c>
      <c r="L148" s="115">
        <v>2026.0</v>
      </c>
      <c r="M148" s="111" t="s">
        <v>494</v>
      </c>
      <c r="N148" s="124"/>
      <c r="O148" s="116" t="str">
        <f>IF(ISBLANK(A148), "", IF(AND(LOWER(TRIM(K148))=LOWER(TRIM(PANEL!$L$2)), L148=PANEL!$I$2), MAX($O$4:O147)+1, ""))</f>
        <v/>
      </c>
      <c r="P148" s="100" t="str">
        <f t="shared" si="1"/>
        <v>Q1</v>
      </c>
    </row>
    <row r="149" ht="21.75" customHeight="1">
      <c r="A149" s="117" t="s">
        <v>563</v>
      </c>
      <c r="B149" s="118" t="s">
        <v>562</v>
      </c>
      <c r="C149" s="119" t="s">
        <v>493</v>
      </c>
      <c r="D149" s="119" t="s">
        <v>138</v>
      </c>
      <c r="E149" s="120" t="s">
        <v>139</v>
      </c>
      <c r="F149" s="120" t="s">
        <v>507</v>
      </c>
      <c r="G149" s="120" t="s">
        <v>333</v>
      </c>
      <c r="H149" s="121">
        <v>10000.0</v>
      </c>
      <c r="I149" s="119" t="s">
        <v>261</v>
      </c>
      <c r="J149" s="119" t="s">
        <v>262</v>
      </c>
      <c r="K149" s="119" t="s">
        <v>226</v>
      </c>
      <c r="L149" s="122">
        <v>2026.0</v>
      </c>
      <c r="M149" s="119" t="s">
        <v>494</v>
      </c>
      <c r="N149" s="120"/>
      <c r="O149" s="123" t="str">
        <f>IF(ISBLANK(A149), "", IF(AND(LOWER(TRIM(K149))=LOWER(TRIM(PANEL!$L$2)), L149=PANEL!$I$2), MAX($O$4:O148)+1, ""))</f>
        <v/>
      </c>
      <c r="P149" s="101" t="str">
        <f t="shared" si="1"/>
        <v>Q1</v>
      </c>
    </row>
    <row r="150" ht="21.75" customHeight="1">
      <c r="A150" s="109" t="s">
        <v>564</v>
      </c>
      <c r="B150" s="110" t="s">
        <v>562</v>
      </c>
      <c r="C150" s="111" t="s">
        <v>493</v>
      </c>
      <c r="D150" s="111" t="s">
        <v>138</v>
      </c>
      <c r="E150" s="124" t="s">
        <v>155</v>
      </c>
      <c r="F150" s="124" t="s">
        <v>161</v>
      </c>
      <c r="G150" s="124" t="s">
        <v>411</v>
      </c>
      <c r="H150" s="113">
        <v>35000.0</v>
      </c>
      <c r="I150" s="111" t="s">
        <v>261</v>
      </c>
      <c r="J150" s="111" t="s">
        <v>262</v>
      </c>
      <c r="K150" s="111" t="s">
        <v>226</v>
      </c>
      <c r="L150" s="115">
        <v>2026.0</v>
      </c>
      <c r="M150" s="111" t="s">
        <v>494</v>
      </c>
      <c r="N150" s="124"/>
      <c r="O150" s="116" t="str">
        <f>IF(ISBLANK(A150), "", IF(AND(LOWER(TRIM(K150))=LOWER(TRIM(PANEL!$L$2)), L150=PANEL!$I$2), MAX($O$4:O149)+1, ""))</f>
        <v/>
      </c>
      <c r="P150" s="100" t="str">
        <f t="shared" si="1"/>
        <v>Q1</v>
      </c>
    </row>
    <row r="151" ht="21.75" customHeight="1">
      <c r="A151" s="117" t="s">
        <v>565</v>
      </c>
      <c r="B151" s="118" t="s">
        <v>562</v>
      </c>
      <c r="C151" s="119" t="s">
        <v>493</v>
      </c>
      <c r="D151" s="119" t="s">
        <v>138</v>
      </c>
      <c r="E151" s="120" t="s">
        <v>271</v>
      </c>
      <c r="F151" s="120" t="s">
        <v>566</v>
      </c>
      <c r="G151" s="120" t="s">
        <v>567</v>
      </c>
      <c r="H151" s="121">
        <v>60000.0</v>
      </c>
      <c r="I151" s="119" t="s">
        <v>261</v>
      </c>
      <c r="J151" s="119" t="s">
        <v>262</v>
      </c>
      <c r="K151" s="119" t="s">
        <v>226</v>
      </c>
      <c r="L151" s="122">
        <v>2026.0</v>
      </c>
      <c r="M151" s="119" t="s">
        <v>494</v>
      </c>
      <c r="N151" s="120"/>
      <c r="O151" s="123" t="str">
        <f>IF(ISBLANK(A151), "", IF(AND(LOWER(TRIM(K151))=LOWER(TRIM(PANEL!$L$2)), L151=PANEL!$I$2), MAX($O$4:O150)+1, ""))</f>
        <v/>
      </c>
      <c r="P151" s="101" t="str">
        <f t="shared" si="1"/>
        <v>Q1</v>
      </c>
    </row>
    <row r="152" ht="21.75" customHeight="1">
      <c r="A152" s="109" t="s">
        <v>568</v>
      </c>
      <c r="B152" s="110" t="s">
        <v>562</v>
      </c>
      <c r="C152" s="111" t="s">
        <v>493</v>
      </c>
      <c r="D152" s="111" t="s">
        <v>138</v>
      </c>
      <c r="E152" s="124" t="s">
        <v>533</v>
      </c>
      <c r="F152" s="124" t="s">
        <v>534</v>
      </c>
      <c r="G152" s="124" t="s">
        <v>569</v>
      </c>
      <c r="H152" s="113">
        <v>80000.0</v>
      </c>
      <c r="I152" s="111" t="s">
        <v>261</v>
      </c>
      <c r="J152" s="111" t="s">
        <v>262</v>
      </c>
      <c r="K152" s="111" t="s">
        <v>226</v>
      </c>
      <c r="L152" s="115">
        <v>2026.0</v>
      </c>
      <c r="M152" s="111" t="s">
        <v>494</v>
      </c>
      <c r="N152" s="124"/>
      <c r="O152" s="116" t="str">
        <f>IF(ISBLANK(A152), "", IF(AND(LOWER(TRIM(K152))=LOWER(TRIM(PANEL!$L$2)), L152=PANEL!$I$2), MAX($O$4:O151)+1, ""))</f>
        <v/>
      </c>
      <c r="P152" s="100" t="str">
        <f t="shared" si="1"/>
        <v>Q1</v>
      </c>
    </row>
    <row r="153" ht="21.75" customHeight="1">
      <c r="A153" s="117" t="s">
        <v>570</v>
      </c>
      <c r="B153" s="118" t="s">
        <v>562</v>
      </c>
      <c r="C153" s="119" t="s">
        <v>493</v>
      </c>
      <c r="D153" s="119" t="s">
        <v>138</v>
      </c>
      <c r="E153" s="120" t="s">
        <v>571</v>
      </c>
      <c r="F153" s="120" t="s">
        <v>572</v>
      </c>
      <c r="G153" s="120" t="s">
        <v>573</v>
      </c>
      <c r="H153" s="121">
        <v>103000.0</v>
      </c>
      <c r="I153" s="119" t="s">
        <v>261</v>
      </c>
      <c r="J153" s="119" t="s">
        <v>262</v>
      </c>
      <c r="K153" s="119" t="s">
        <v>226</v>
      </c>
      <c r="L153" s="122">
        <v>2026.0</v>
      </c>
      <c r="M153" s="119" t="s">
        <v>494</v>
      </c>
      <c r="N153" s="120"/>
      <c r="O153" s="123" t="str">
        <f>IF(ISBLANK(A153), "", IF(AND(LOWER(TRIM(K153))=LOWER(TRIM(PANEL!$L$2)), L153=PANEL!$I$2), MAX($O$4:O152)+1, ""))</f>
        <v/>
      </c>
      <c r="P153" s="101" t="str">
        <f t="shared" si="1"/>
        <v>Q1</v>
      </c>
    </row>
    <row r="154" ht="21.75" customHeight="1">
      <c r="A154" s="109" t="s">
        <v>574</v>
      </c>
      <c r="B154" s="110" t="s">
        <v>562</v>
      </c>
      <c r="C154" s="111" t="s">
        <v>493</v>
      </c>
      <c r="D154" s="111" t="s">
        <v>138</v>
      </c>
      <c r="E154" s="124" t="s">
        <v>179</v>
      </c>
      <c r="F154" s="124" t="s">
        <v>499</v>
      </c>
      <c r="G154" s="124" t="s">
        <v>471</v>
      </c>
      <c r="H154" s="113">
        <v>62300.0</v>
      </c>
      <c r="I154" s="111" t="s">
        <v>261</v>
      </c>
      <c r="J154" s="111" t="s">
        <v>262</v>
      </c>
      <c r="K154" s="111" t="s">
        <v>226</v>
      </c>
      <c r="L154" s="115">
        <v>2026.0</v>
      </c>
      <c r="M154" s="111" t="s">
        <v>494</v>
      </c>
      <c r="N154" s="124"/>
      <c r="O154" s="116" t="str">
        <f>IF(ISBLANK(A154), "", IF(AND(LOWER(TRIM(K154))=LOWER(TRIM(PANEL!$L$2)), L154=PANEL!$I$2), MAX($O$4:O153)+1, ""))</f>
        <v/>
      </c>
      <c r="P154" s="100" t="str">
        <f t="shared" si="1"/>
        <v>Q1</v>
      </c>
    </row>
    <row r="155" ht="21.75" customHeight="1">
      <c r="A155" s="117" t="s">
        <v>575</v>
      </c>
      <c r="B155" s="118" t="s">
        <v>562</v>
      </c>
      <c r="C155" s="119" t="s">
        <v>493</v>
      </c>
      <c r="D155" s="119" t="s">
        <v>138</v>
      </c>
      <c r="E155" s="120" t="s">
        <v>533</v>
      </c>
      <c r="F155" s="120" t="s">
        <v>534</v>
      </c>
      <c r="G155" s="120" t="s">
        <v>535</v>
      </c>
      <c r="H155" s="121">
        <v>100000.0</v>
      </c>
      <c r="I155" s="119" t="s">
        <v>261</v>
      </c>
      <c r="J155" s="119" t="s">
        <v>262</v>
      </c>
      <c r="K155" s="119" t="s">
        <v>226</v>
      </c>
      <c r="L155" s="122">
        <v>2026.0</v>
      </c>
      <c r="M155" s="119" t="s">
        <v>494</v>
      </c>
      <c r="N155" s="120"/>
      <c r="O155" s="123" t="str">
        <f>IF(ISBLANK(A155), "", IF(AND(LOWER(TRIM(K155))=LOWER(TRIM(PANEL!$L$2)), L155=PANEL!$I$2), MAX($O$4:O154)+1, ""))</f>
        <v/>
      </c>
      <c r="P155" s="101" t="str">
        <f t="shared" si="1"/>
        <v>Q1</v>
      </c>
    </row>
    <row r="156" ht="21.75" customHeight="1">
      <c r="A156" s="109" t="s">
        <v>576</v>
      </c>
      <c r="B156" s="110" t="s">
        <v>562</v>
      </c>
      <c r="C156" s="111" t="s">
        <v>493</v>
      </c>
      <c r="D156" s="111" t="s">
        <v>138</v>
      </c>
      <c r="E156" s="124" t="s">
        <v>155</v>
      </c>
      <c r="F156" s="124" t="s">
        <v>156</v>
      </c>
      <c r="G156" s="124" t="s">
        <v>577</v>
      </c>
      <c r="H156" s="113">
        <v>210000.0</v>
      </c>
      <c r="I156" s="111" t="s">
        <v>261</v>
      </c>
      <c r="J156" s="111" t="s">
        <v>262</v>
      </c>
      <c r="K156" s="111" t="s">
        <v>226</v>
      </c>
      <c r="L156" s="115">
        <v>2026.0</v>
      </c>
      <c r="M156" s="111" t="s">
        <v>494</v>
      </c>
      <c r="N156" s="124"/>
      <c r="O156" s="116" t="str">
        <f>IF(ISBLANK(A156), "", IF(AND(LOWER(TRIM(K156))=LOWER(TRIM(PANEL!$L$2)), L156=PANEL!$I$2), MAX($O$4:O155)+1, ""))</f>
        <v/>
      </c>
      <c r="P156" s="100" t="str">
        <f t="shared" si="1"/>
        <v>Q1</v>
      </c>
    </row>
    <row r="157" ht="21.75" customHeight="1">
      <c r="A157" s="117" t="s">
        <v>578</v>
      </c>
      <c r="B157" s="118" t="s">
        <v>562</v>
      </c>
      <c r="C157" s="119" t="s">
        <v>493</v>
      </c>
      <c r="D157" s="119" t="s">
        <v>138</v>
      </c>
      <c r="E157" s="120" t="s">
        <v>48</v>
      </c>
      <c r="F157" s="120" t="s">
        <v>168</v>
      </c>
      <c r="G157" s="120" t="s">
        <v>364</v>
      </c>
      <c r="H157" s="121">
        <v>600000.0</v>
      </c>
      <c r="I157" s="119" t="s">
        <v>261</v>
      </c>
      <c r="J157" s="119" t="s">
        <v>262</v>
      </c>
      <c r="K157" s="119" t="s">
        <v>226</v>
      </c>
      <c r="L157" s="122">
        <v>2026.0</v>
      </c>
      <c r="M157" s="119" t="s">
        <v>494</v>
      </c>
      <c r="N157" s="120"/>
      <c r="O157" s="123" t="str">
        <f>IF(ISBLANK(A157), "", IF(AND(LOWER(TRIM(K157))=LOWER(TRIM(PANEL!$L$2)), L157=PANEL!$I$2), MAX($O$4:O156)+1, ""))</f>
        <v/>
      </c>
      <c r="P157" s="101" t="str">
        <f t="shared" si="1"/>
        <v>Q1</v>
      </c>
    </row>
    <row r="158" ht="21.75" customHeight="1">
      <c r="A158" s="109" t="s">
        <v>579</v>
      </c>
      <c r="B158" s="110" t="s">
        <v>562</v>
      </c>
      <c r="C158" s="111" t="s">
        <v>493</v>
      </c>
      <c r="D158" s="111" t="s">
        <v>138</v>
      </c>
      <c r="E158" s="124" t="s">
        <v>179</v>
      </c>
      <c r="F158" s="124" t="s">
        <v>499</v>
      </c>
      <c r="G158" s="124" t="s">
        <v>467</v>
      </c>
      <c r="H158" s="113">
        <v>60000.0</v>
      </c>
      <c r="I158" s="111" t="s">
        <v>261</v>
      </c>
      <c r="J158" s="111" t="s">
        <v>262</v>
      </c>
      <c r="K158" s="111" t="s">
        <v>226</v>
      </c>
      <c r="L158" s="115">
        <v>2026.0</v>
      </c>
      <c r="M158" s="111" t="s">
        <v>494</v>
      </c>
      <c r="N158" s="124"/>
      <c r="O158" s="116" t="str">
        <f>IF(ISBLANK(A158), "", IF(AND(LOWER(TRIM(K158))=LOWER(TRIM(PANEL!$L$2)), L158=PANEL!$I$2), MAX($O$4:O157)+1, ""))</f>
        <v/>
      </c>
      <c r="P158" s="100" t="str">
        <f t="shared" si="1"/>
        <v>Q1</v>
      </c>
    </row>
    <row r="159" ht="21.75" customHeight="1">
      <c r="A159" s="117" t="s">
        <v>580</v>
      </c>
      <c r="B159" s="118" t="s">
        <v>562</v>
      </c>
      <c r="C159" s="119" t="s">
        <v>493</v>
      </c>
      <c r="D159" s="119" t="s">
        <v>138</v>
      </c>
      <c r="E159" s="120" t="s">
        <v>179</v>
      </c>
      <c r="F159" s="120" t="s">
        <v>499</v>
      </c>
      <c r="G159" s="120" t="s">
        <v>515</v>
      </c>
      <c r="H159" s="121">
        <v>210000.0</v>
      </c>
      <c r="I159" s="119" t="s">
        <v>261</v>
      </c>
      <c r="J159" s="119" t="s">
        <v>262</v>
      </c>
      <c r="K159" s="119" t="s">
        <v>226</v>
      </c>
      <c r="L159" s="122">
        <v>2026.0</v>
      </c>
      <c r="M159" s="119" t="s">
        <v>494</v>
      </c>
      <c r="N159" s="120"/>
      <c r="O159" s="123" t="str">
        <f>IF(ISBLANK(A159), "", IF(AND(LOWER(TRIM(K159))=LOWER(TRIM(PANEL!$L$2)), L159=PANEL!$I$2), MAX($O$4:O158)+1, ""))</f>
        <v/>
      </c>
      <c r="P159" s="101" t="str">
        <f t="shared" si="1"/>
        <v>Q1</v>
      </c>
    </row>
    <row r="160" ht="21.75" customHeight="1">
      <c r="A160" s="109" t="s">
        <v>581</v>
      </c>
      <c r="B160" s="110" t="s">
        <v>582</v>
      </c>
      <c r="C160" s="111" t="s">
        <v>493</v>
      </c>
      <c r="D160" s="111" t="s">
        <v>191</v>
      </c>
      <c r="E160" s="124" t="s">
        <v>192</v>
      </c>
      <c r="F160" s="124" t="s">
        <v>193</v>
      </c>
      <c r="G160" s="124" t="s">
        <v>194</v>
      </c>
      <c r="H160" s="113">
        <v>1575490.0</v>
      </c>
      <c r="I160" s="111" t="s">
        <v>261</v>
      </c>
      <c r="J160" s="111" t="s">
        <v>262</v>
      </c>
      <c r="K160" s="111" t="s">
        <v>219</v>
      </c>
      <c r="L160" s="115">
        <v>2026.0</v>
      </c>
      <c r="M160" s="111" t="s">
        <v>494</v>
      </c>
      <c r="N160" s="124"/>
      <c r="O160" s="116" t="str">
        <f>IF(ISBLANK(A160), "", IF(AND(LOWER(TRIM(K160))=LOWER(TRIM(PANEL!$L$2)), L160=PANEL!$I$2), MAX($O$4:O159)+1, ""))</f>
        <v/>
      </c>
      <c r="P160" s="100" t="str">
        <f t="shared" si="1"/>
        <v>Q2</v>
      </c>
    </row>
    <row r="161" ht="21.75" customHeight="1">
      <c r="A161" s="117" t="s">
        <v>583</v>
      </c>
      <c r="B161" s="118" t="s">
        <v>582</v>
      </c>
      <c r="C161" s="119" t="s">
        <v>493</v>
      </c>
      <c r="D161" s="119" t="s">
        <v>138</v>
      </c>
      <c r="E161" s="120" t="s">
        <v>155</v>
      </c>
      <c r="F161" s="120" t="s">
        <v>156</v>
      </c>
      <c r="G161" s="120" t="s">
        <v>436</v>
      </c>
      <c r="H161" s="121">
        <v>60000.0</v>
      </c>
      <c r="I161" s="119" t="s">
        <v>261</v>
      </c>
      <c r="J161" s="119" t="s">
        <v>262</v>
      </c>
      <c r="K161" s="119" t="s">
        <v>219</v>
      </c>
      <c r="L161" s="122">
        <v>2026.0</v>
      </c>
      <c r="M161" s="119" t="s">
        <v>494</v>
      </c>
      <c r="N161" s="120"/>
      <c r="O161" s="123" t="str">
        <f>IF(ISBLANK(A161), "", IF(AND(LOWER(TRIM(K161))=LOWER(TRIM(PANEL!$L$2)), L161=PANEL!$I$2), MAX($O$4:O160)+1, ""))</f>
        <v/>
      </c>
      <c r="P161" s="101" t="str">
        <f t="shared" si="1"/>
        <v>Q2</v>
      </c>
    </row>
    <row r="162" ht="21.75" customHeight="1">
      <c r="A162" s="109" t="s">
        <v>584</v>
      </c>
      <c r="B162" s="110" t="s">
        <v>582</v>
      </c>
      <c r="C162" s="111" t="s">
        <v>493</v>
      </c>
      <c r="D162" s="111" t="s">
        <v>138</v>
      </c>
      <c r="E162" s="124" t="s">
        <v>258</v>
      </c>
      <c r="F162" s="124" t="s">
        <v>259</v>
      </c>
      <c r="G162" s="124" t="s">
        <v>477</v>
      </c>
      <c r="H162" s="113">
        <v>40000.0</v>
      </c>
      <c r="I162" s="111" t="s">
        <v>261</v>
      </c>
      <c r="J162" s="111" t="s">
        <v>262</v>
      </c>
      <c r="K162" s="111" t="s">
        <v>219</v>
      </c>
      <c r="L162" s="115">
        <v>2026.0</v>
      </c>
      <c r="M162" s="111" t="s">
        <v>494</v>
      </c>
      <c r="N162" s="124"/>
      <c r="O162" s="116" t="str">
        <f>IF(ISBLANK(A162), "", IF(AND(LOWER(TRIM(K162))=LOWER(TRIM(PANEL!$L$2)), L162=PANEL!$I$2), MAX($O$4:O161)+1, ""))</f>
        <v/>
      </c>
      <c r="P162" s="100" t="str">
        <f t="shared" si="1"/>
        <v>Q2</v>
      </c>
    </row>
    <row r="163" ht="21.75" customHeight="1">
      <c r="A163" s="117" t="s">
        <v>585</v>
      </c>
      <c r="B163" s="118" t="s">
        <v>582</v>
      </c>
      <c r="C163" s="119" t="s">
        <v>493</v>
      </c>
      <c r="D163" s="119" t="s">
        <v>138</v>
      </c>
      <c r="E163" s="120" t="s">
        <v>271</v>
      </c>
      <c r="F163" s="120" t="s">
        <v>586</v>
      </c>
      <c r="G163" s="120" t="s">
        <v>587</v>
      </c>
      <c r="H163" s="121">
        <v>263000.0</v>
      </c>
      <c r="I163" s="119" t="s">
        <v>261</v>
      </c>
      <c r="J163" s="119" t="s">
        <v>262</v>
      </c>
      <c r="K163" s="119" t="s">
        <v>219</v>
      </c>
      <c r="L163" s="122">
        <v>2026.0</v>
      </c>
      <c r="M163" s="119" t="s">
        <v>494</v>
      </c>
      <c r="N163" s="120"/>
      <c r="O163" s="123" t="str">
        <f>IF(ISBLANK(A163), "", IF(AND(LOWER(TRIM(K163))=LOWER(TRIM(PANEL!$L$2)), L163=PANEL!$I$2), MAX($O$4:O162)+1, ""))</f>
        <v/>
      </c>
      <c r="P163" s="101" t="str">
        <f t="shared" si="1"/>
        <v>Q2</v>
      </c>
    </row>
    <row r="164" ht="21.75" customHeight="1">
      <c r="A164" s="109" t="s">
        <v>588</v>
      </c>
      <c r="B164" s="110" t="s">
        <v>582</v>
      </c>
      <c r="C164" s="111" t="s">
        <v>493</v>
      </c>
      <c r="D164" s="111" t="s">
        <v>138</v>
      </c>
      <c r="E164" s="124" t="s">
        <v>571</v>
      </c>
      <c r="F164" s="124" t="s">
        <v>572</v>
      </c>
      <c r="G164" s="124" t="s">
        <v>589</v>
      </c>
      <c r="H164" s="113">
        <v>103000.0</v>
      </c>
      <c r="I164" s="111" t="s">
        <v>261</v>
      </c>
      <c r="J164" s="111" t="s">
        <v>262</v>
      </c>
      <c r="K164" s="111" t="s">
        <v>219</v>
      </c>
      <c r="L164" s="115">
        <v>2026.0</v>
      </c>
      <c r="M164" s="111" t="s">
        <v>494</v>
      </c>
      <c r="N164" s="124"/>
      <c r="O164" s="116" t="str">
        <f>IF(ISBLANK(A164), "", IF(AND(LOWER(TRIM(K164))=LOWER(TRIM(PANEL!$L$2)), L164=PANEL!$I$2), MAX($O$4:O163)+1, ""))</f>
        <v/>
      </c>
      <c r="P164" s="100" t="str">
        <f t="shared" si="1"/>
        <v>Q2</v>
      </c>
    </row>
    <row r="165" ht="21.75" customHeight="1">
      <c r="A165" s="117" t="s">
        <v>590</v>
      </c>
      <c r="B165" s="118" t="s">
        <v>582</v>
      </c>
      <c r="C165" s="119" t="s">
        <v>493</v>
      </c>
      <c r="D165" s="119" t="s">
        <v>138</v>
      </c>
      <c r="E165" s="120" t="s">
        <v>155</v>
      </c>
      <c r="F165" s="120" t="s">
        <v>156</v>
      </c>
      <c r="G165" s="120" t="s">
        <v>591</v>
      </c>
      <c r="H165" s="121">
        <v>30000.0</v>
      </c>
      <c r="I165" s="119" t="s">
        <v>261</v>
      </c>
      <c r="J165" s="119" t="s">
        <v>262</v>
      </c>
      <c r="K165" s="119" t="s">
        <v>219</v>
      </c>
      <c r="L165" s="122">
        <v>2026.0</v>
      </c>
      <c r="M165" s="119" t="s">
        <v>494</v>
      </c>
      <c r="N165" s="120"/>
      <c r="O165" s="123" t="str">
        <f>IF(ISBLANK(A165), "", IF(AND(LOWER(TRIM(K165))=LOWER(TRIM(PANEL!$L$2)), L165=PANEL!$I$2), MAX($O$4:O164)+1, ""))</f>
        <v/>
      </c>
      <c r="P165" s="101" t="str">
        <f t="shared" si="1"/>
        <v>Q2</v>
      </c>
    </row>
    <row r="166" ht="21.75" customHeight="1">
      <c r="A166" s="109" t="s">
        <v>592</v>
      </c>
      <c r="B166" s="110" t="s">
        <v>582</v>
      </c>
      <c r="C166" s="111" t="s">
        <v>493</v>
      </c>
      <c r="D166" s="111" t="s">
        <v>138</v>
      </c>
      <c r="E166" s="124" t="s">
        <v>155</v>
      </c>
      <c r="F166" s="124" t="s">
        <v>161</v>
      </c>
      <c r="G166" s="124" t="s">
        <v>411</v>
      </c>
      <c r="H166" s="113">
        <v>35000.0</v>
      </c>
      <c r="I166" s="111" t="s">
        <v>261</v>
      </c>
      <c r="J166" s="111" t="s">
        <v>262</v>
      </c>
      <c r="K166" s="111" t="s">
        <v>219</v>
      </c>
      <c r="L166" s="115">
        <v>2026.0</v>
      </c>
      <c r="M166" s="111" t="s">
        <v>494</v>
      </c>
      <c r="N166" s="124"/>
      <c r="O166" s="116" t="str">
        <f>IF(ISBLANK(A166), "", IF(AND(LOWER(TRIM(K166))=LOWER(TRIM(PANEL!$L$2)), L166=PANEL!$I$2), MAX($O$4:O165)+1, ""))</f>
        <v/>
      </c>
      <c r="P166" s="100" t="str">
        <f t="shared" si="1"/>
        <v>Q2</v>
      </c>
    </row>
    <row r="167" ht="21.75" customHeight="1">
      <c r="A167" s="117" t="s">
        <v>593</v>
      </c>
      <c r="B167" s="118" t="s">
        <v>582</v>
      </c>
      <c r="C167" s="119" t="s">
        <v>493</v>
      </c>
      <c r="D167" s="119" t="s">
        <v>138</v>
      </c>
      <c r="E167" s="120" t="s">
        <v>179</v>
      </c>
      <c r="F167" s="120" t="s">
        <v>499</v>
      </c>
      <c r="G167" s="120" t="s">
        <v>594</v>
      </c>
      <c r="H167" s="121">
        <v>48000.0</v>
      </c>
      <c r="I167" s="119" t="s">
        <v>261</v>
      </c>
      <c r="J167" s="119" t="s">
        <v>262</v>
      </c>
      <c r="K167" s="119" t="s">
        <v>219</v>
      </c>
      <c r="L167" s="122">
        <v>2026.0</v>
      </c>
      <c r="M167" s="119" t="s">
        <v>494</v>
      </c>
      <c r="N167" s="120"/>
      <c r="O167" s="123" t="str">
        <f>IF(ISBLANK(A167), "", IF(AND(LOWER(TRIM(K167))=LOWER(TRIM(PANEL!$L$2)), L167=PANEL!$I$2), MAX($O$4:O166)+1, ""))</f>
        <v/>
      </c>
      <c r="P167" s="101" t="str">
        <f t="shared" si="1"/>
        <v>Q2</v>
      </c>
    </row>
    <row r="168" ht="21.75" customHeight="1">
      <c r="A168" s="109" t="s">
        <v>595</v>
      </c>
      <c r="B168" s="110" t="s">
        <v>582</v>
      </c>
      <c r="C168" s="111" t="s">
        <v>493</v>
      </c>
      <c r="D168" s="111" t="s">
        <v>138</v>
      </c>
      <c r="E168" s="124" t="s">
        <v>533</v>
      </c>
      <c r="F168" s="124" t="s">
        <v>534</v>
      </c>
      <c r="G168" s="124" t="s">
        <v>559</v>
      </c>
      <c r="H168" s="113">
        <v>65000.0</v>
      </c>
      <c r="I168" s="111" t="s">
        <v>261</v>
      </c>
      <c r="J168" s="111" t="s">
        <v>262</v>
      </c>
      <c r="K168" s="111" t="s">
        <v>219</v>
      </c>
      <c r="L168" s="115">
        <v>2026.0</v>
      </c>
      <c r="M168" s="111" t="s">
        <v>494</v>
      </c>
      <c r="N168" s="124"/>
      <c r="O168" s="116" t="str">
        <f>IF(ISBLANK(A168), "", IF(AND(LOWER(TRIM(K168))=LOWER(TRIM(PANEL!$L$2)), L168=PANEL!$I$2), MAX($O$4:O167)+1, ""))</f>
        <v/>
      </c>
      <c r="P168" s="100" t="str">
        <f t="shared" si="1"/>
        <v>Q2</v>
      </c>
    </row>
    <row r="169" ht="21.75" customHeight="1">
      <c r="A169" s="117" t="s">
        <v>596</v>
      </c>
      <c r="B169" s="118" t="s">
        <v>582</v>
      </c>
      <c r="C169" s="119" t="s">
        <v>493</v>
      </c>
      <c r="D169" s="119" t="s">
        <v>138</v>
      </c>
      <c r="E169" s="120" t="s">
        <v>173</v>
      </c>
      <c r="F169" s="120" t="s">
        <v>501</v>
      </c>
      <c r="G169" s="120" t="s">
        <v>50</v>
      </c>
      <c r="H169" s="121">
        <v>900000.0</v>
      </c>
      <c r="I169" s="119" t="s">
        <v>261</v>
      </c>
      <c r="J169" s="119" t="s">
        <v>262</v>
      </c>
      <c r="K169" s="119" t="s">
        <v>219</v>
      </c>
      <c r="L169" s="122">
        <v>2026.0</v>
      </c>
      <c r="M169" s="119" t="s">
        <v>494</v>
      </c>
      <c r="N169" s="120"/>
      <c r="O169" s="123" t="str">
        <f>IF(ISBLANK(A169), "", IF(AND(LOWER(TRIM(K169))=LOWER(TRIM(PANEL!$L$2)), L169=PANEL!$I$2), MAX($O$4:O168)+1, ""))</f>
        <v/>
      </c>
      <c r="P169" s="101" t="str">
        <f t="shared" si="1"/>
        <v>Q2</v>
      </c>
    </row>
    <row r="170" ht="21.75" customHeight="1">
      <c r="A170" s="109" t="s">
        <v>597</v>
      </c>
      <c r="B170" s="110" t="s">
        <v>598</v>
      </c>
      <c r="C170" s="111" t="s">
        <v>493</v>
      </c>
      <c r="D170" s="111" t="s">
        <v>191</v>
      </c>
      <c r="E170" s="124" t="s">
        <v>192</v>
      </c>
      <c r="F170" s="124" t="s">
        <v>193</v>
      </c>
      <c r="G170" s="124" t="s">
        <v>194</v>
      </c>
      <c r="H170" s="113">
        <v>1918622.0</v>
      </c>
      <c r="I170" s="111" t="s">
        <v>261</v>
      </c>
      <c r="J170" s="111" t="s">
        <v>262</v>
      </c>
      <c r="K170" s="111" t="s">
        <v>219</v>
      </c>
      <c r="L170" s="115">
        <v>2026.0</v>
      </c>
      <c r="M170" s="111" t="s">
        <v>494</v>
      </c>
      <c r="N170" s="124"/>
      <c r="O170" s="116" t="str">
        <f>IF(ISBLANK(A170), "", IF(AND(LOWER(TRIM(K170))=LOWER(TRIM(PANEL!$L$2)), L170=PANEL!$I$2), MAX($O$4:O169)+1, ""))</f>
        <v/>
      </c>
      <c r="P170" s="100" t="str">
        <f t="shared" si="1"/>
        <v>Q1</v>
      </c>
    </row>
    <row r="171" ht="21.75" customHeight="1">
      <c r="A171" s="117" t="s">
        <v>599</v>
      </c>
      <c r="B171" s="118" t="s">
        <v>598</v>
      </c>
      <c r="C171" s="119" t="s">
        <v>493</v>
      </c>
      <c r="D171" s="119" t="s">
        <v>138</v>
      </c>
      <c r="E171" s="120" t="s">
        <v>139</v>
      </c>
      <c r="F171" s="120" t="s">
        <v>507</v>
      </c>
      <c r="G171" s="120" t="s">
        <v>333</v>
      </c>
      <c r="H171" s="121">
        <v>10000.0</v>
      </c>
      <c r="I171" s="119" t="s">
        <v>261</v>
      </c>
      <c r="J171" s="119" t="s">
        <v>262</v>
      </c>
      <c r="K171" s="119" t="s">
        <v>219</v>
      </c>
      <c r="L171" s="122">
        <v>2026.0</v>
      </c>
      <c r="M171" s="119" t="s">
        <v>494</v>
      </c>
      <c r="N171" s="120"/>
      <c r="O171" s="123" t="str">
        <f>IF(ISBLANK(A171), "", IF(AND(LOWER(TRIM(K171))=LOWER(TRIM(PANEL!$L$2)), L171=PANEL!$I$2), MAX($O$4:O170)+1, ""))</f>
        <v/>
      </c>
      <c r="P171" s="101" t="str">
        <f t="shared" si="1"/>
        <v>Q1</v>
      </c>
    </row>
    <row r="172" ht="21.75" customHeight="1">
      <c r="A172" s="109" t="s">
        <v>600</v>
      </c>
      <c r="B172" s="110" t="s">
        <v>598</v>
      </c>
      <c r="C172" s="111" t="s">
        <v>493</v>
      </c>
      <c r="D172" s="111" t="s">
        <v>138</v>
      </c>
      <c r="E172" s="124" t="s">
        <v>533</v>
      </c>
      <c r="F172" s="124" t="s">
        <v>534</v>
      </c>
      <c r="G172" s="124" t="s">
        <v>569</v>
      </c>
      <c r="H172" s="113">
        <v>80000.0</v>
      </c>
      <c r="I172" s="111" t="s">
        <v>261</v>
      </c>
      <c r="J172" s="111" t="s">
        <v>262</v>
      </c>
      <c r="K172" s="111" t="s">
        <v>219</v>
      </c>
      <c r="L172" s="115">
        <v>2026.0</v>
      </c>
      <c r="M172" s="111" t="s">
        <v>494</v>
      </c>
      <c r="N172" s="124"/>
      <c r="O172" s="116" t="str">
        <f>IF(ISBLANK(A172), "", IF(AND(LOWER(TRIM(K172))=LOWER(TRIM(PANEL!$L$2)), L172=PANEL!$I$2), MAX($O$4:O171)+1, ""))</f>
        <v/>
      </c>
      <c r="P172" s="100" t="str">
        <f t="shared" si="1"/>
        <v>Q1</v>
      </c>
    </row>
    <row r="173" ht="21.75" customHeight="1">
      <c r="A173" s="117" t="s">
        <v>601</v>
      </c>
      <c r="B173" s="118" t="s">
        <v>598</v>
      </c>
      <c r="C173" s="119" t="s">
        <v>493</v>
      </c>
      <c r="D173" s="119" t="s">
        <v>138</v>
      </c>
      <c r="E173" s="120" t="s">
        <v>155</v>
      </c>
      <c r="F173" s="120" t="s">
        <v>161</v>
      </c>
      <c r="G173" s="120" t="s">
        <v>411</v>
      </c>
      <c r="H173" s="121">
        <v>20000.0</v>
      </c>
      <c r="I173" s="119" t="s">
        <v>261</v>
      </c>
      <c r="J173" s="119" t="s">
        <v>262</v>
      </c>
      <c r="K173" s="119" t="s">
        <v>219</v>
      </c>
      <c r="L173" s="122">
        <v>2026.0</v>
      </c>
      <c r="M173" s="119" t="s">
        <v>494</v>
      </c>
      <c r="N173" s="120"/>
      <c r="O173" s="123" t="str">
        <f>IF(ISBLANK(A173), "", IF(AND(LOWER(TRIM(K173))=LOWER(TRIM(PANEL!$L$2)), L173=PANEL!$I$2), MAX($O$4:O172)+1, ""))</f>
        <v/>
      </c>
      <c r="P173" s="101" t="str">
        <f t="shared" si="1"/>
        <v>Q1</v>
      </c>
    </row>
    <row r="174" ht="21.75" customHeight="1">
      <c r="A174" s="109" t="s">
        <v>602</v>
      </c>
      <c r="B174" s="110" t="s">
        <v>598</v>
      </c>
      <c r="C174" s="111" t="s">
        <v>493</v>
      </c>
      <c r="D174" s="111" t="s">
        <v>138</v>
      </c>
      <c r="E174" s="124" t="s">
        <v>155</v>
      </c>
      <c r="F174" s="124" t="s">
        <v>156</v>
      </c>
      <c r="G174" s="124" t="s">
        <v>603</v>
      </c>
      <c r="H174" s="113">
        <v>360000.0</v>
      </c>
      <c r="I174" s="111" t="s">
        <v>261</v>
      </c>
      <c r="J174" s="111" t="s">
        <v>262</v>
      </c>
      <c r="K174" s="111" t="s">
        <v>219</v>
      </c>
      <c r="L174" s="115">
        <v>2026.0</v>
      </c>
      <c r="M174" s="111" t="s">
        <v>494</v>
      </c>
      <c r="N174" s="124"/>
      <c r="O174" s="116" t="str">
        <f>IF(ISBLANK(A174), "", IF(AND(LOWER(TRIM(K174))=LOWER(TRIM(PANEL!$L$2)), L174=PANEL!$I$2), MAX($O$4:O173)+1, ""))</f>
        <v/>
      </c>
      <c r="P174" s="100" t="str">
        <f t="shared" si="1"/>
        <v>Q1</v>
      </c>
    </row>
    <row r="175" ht="21.75" customHeight="1">
      <c r="A175" s="117" t="s">
        <v>604</v>
      </c>
      <c r="B175" s="118" t="s">
        <v>598</v>
      </c>
      <c r="C175" s="119" t="s">
        <v>493</v>
      </c>
      <c r="D175" s="119" t="s">
        <v>138</v>
      </c>
      <c r="E175" s="120" t="s">
        <v>179</v>
      </c>
      <c r="F175" s="120" t="s">
        <v>499</v>
      </c>
      <c r="G175" s="120" t="s">
        <v>471</v>
      </c>
      <c r="H175" s="121">
        <v>62128.0</v>
      </c>
      <c r="I175" s="119" t="s">
        <v>261</v>
      </c>
      <c r="J175" s="119" t="s">
        <v>262</v>
      </c>
      <c r="K175" s="119" t="s">
        <v>219</v>
      </c>
      <c r="L175" s="122">
        <v>2026.0</v>
      </c>
      <c r="M175" s="119" t="s">
        <v>494</v>
      </c>
      <c r="N175" s="120"/>
      <c r="O175" s="123" t="str">
        <f>IF(ISBLANK(A175), "", IF(AND(LOWER(TRIM(K175))=LOWER(TRIM(PANEL!$L$2)), L175=PANEL!$I$2), MAX($O$4:O174)+1, ""))</f>
        <v/>
      </c>
      <c r="P175" s="101" t="str">
        <f t="shared" si="1"/>
        <v>Q1</v>
      </c>
    </row>
    <row r="176" ht="21.75" customHeight="1">
      <c r="A176" s="109" t="s">
        <v>605</v>
      </c>
      <c r="B176" s="110" t="s">
        <v>598</v>
      </c>
      <c r="C176" s="111" t="s">
        <v>493</v>
      </c>
      <c r="D176" s="111" t="s">
        <v>138</v>
      </c>
      <c r="E176" s="124" t="s">
        <v>271</v>
      </c>
      <c r="F176" s="124" t="s">
        <v>606</v>
      </c>
      <c r="G176" s="124" t="s">
        <v>607</v>
      </c>
      <c r="H176" s="113">
        <v>53000.0</v>
      </c>
      <c r="I176" s="111" t="s">
        <v>261</v>
      </c>
      <c r="J176" s="111" t="s">
        <v>262</v>
      </c>
      <c r="K176" s="111" t="s">
        <v>219</v>
      </c>
      <c r="L176" s="115">
        <v>2026.0</v>
      </c>
      <c r="M176" s="111" t="s">
        <v>494</v>
      </c>
      <c r="N176" s="124"/>
      <c r="O176" s="116" t="str">
        <f>IF(ISBLANK(A176), "", IF(AND(LOWER(TRIM(K176))=LOWER(TRIM(PANEL!$L$2)), L176=PANEL!$I$2), MAX($O$4:O175)+1, ""))</f>
        <v/>
      </c>
      <c r="P176" s="100" t="str">
        <f t="shared" si="1"/>
        <v>Q1</v>
      </c>
    </row>
    <row r="177" ht="21.75" customHeight="1">
      <c r="A177" s="117" t="s">
        <v>608</v>
      </c>
      <c r="B177" s="118" t="s">
        <v>598</v>
      </c>
      <c r="C177" s="119" t="s">
        <v>493</v>
      </c>
      <c r="D177" s="119" t="s">
        <v>138</v>
      </c>
      <c r="E177" s="120" t="s">
        <v>48</v>
      </c>
      <c r="F177" s="120" t="s">
        <v>168</v>
      </c>
      <c r="G177" s="120" t="s">
        <v>609</v>
      </c>
      <c r="H177" s="121">
        <v>50000.0</v>
      </c>
      <c r="I177" s="119" t="s">
        <v>261</v>
      </c>
      <c r="J177" s="119" t="s">
        <v>262</v>
      </c>
      <c r="K177" s="119" t="s">
        <v>219</v>
      </c>
      <c r="L177" s="122">
        <v>2026.0</v>
      </c>
      <c r="M177" s="119" t="s">
        <v>494</v>
      </c>
      <c r="N177" s="120"/>
      <c r="O177" s="123" t="str">
        <f>IF(ISBLANK(A177), "", IF(AND(LOWER(TRIM(K177))=LOWER(TRIM(PANEL!$L$2)), L177=PANEL!$I$2), MAX($O$4:O176)+1, ""))</f>
        <v/>
      </c>
      <c r="P177" s="101" t="str">
        <f t="shared" si="1"/>
        <v>Q1</v>
      </c>
    </row>
    <row r="178" ht="21.75" customHeight="1">
      <c r="A178" s="109" t="s">
        <v>610</v>
      </c>
      <c r="B178" s="110" t="s">
        <v>598</v>
      </c>
      <c r="C178" s="111" t="s">
        <v>493</v>
      </c>
      <c r="D178" s="111" t="s">
        <v>138</v>
      </c>
      <c r="E178" s="124" t="s">
        <v>48</v>
      </c>
      <c r="F178" s="124" t="s">
        <v>168</v>
      </c>
      <c r="G178" s="124" t="s">
        <v>364</v>
      </c>
      <c r="H178" s="113">
        <v>560000.0</v>
      </c>
      <c r="I178" s="111" t="s">
        <v>261</v>
      </c>
      <c r="J178" s="111" t="s">
        <v>262</v>
      </c>
      <c r="K178" s="111" t="s">
        <v>219</v>
      </c>
      <c r="L178" s="115">
        <v>2026.0</v>
      </c>
      <c r="M178" s="111" t="s">
        <v>494</v>
      </c>
      <c r="N178" s="124"/>
      <c r="O178" s="116" t="str">
        <f>IF(ISBLANK(A178), "", IF(AND(LOWER(TRIM(K178))=LOWER(TRIM(PANEL!$L$2)), L178=PANEL!$I$2), MAX($O$4:O177)+1, ""))</f>
        <v/>
      </c>
      <c r="P178" s="100" t="str">
        <f t="shared" si="1"/>
        <v>Q1</v>
      </c>
    </row>
    <row r="179" ht="21.75" customHeight="1">
      <c r="A179" s="117" t="s">
        <v>611</v>
      </c>
      <c r="B179" s="118" t="s">
        <v>598</v>
      </c>
      <c r="C179" s="119" t="s">
        <v>493</v>
      </c>
      <c r="D179" s="119" t="s">
        <v>138</v>
      </c>
      <c r="E179" s="120" t="s">
        <v>62</v>
      </c>
      <c r="F179" s="120" t="s">
        <v>168</v>
      </c>
      <c r="G179" s="120" t="s">
        <v>612</v>
      </c>
      <c r="H179" s="121">
        <v>30000.0</v>
      </c>
      <c r="I179" s="119" t="s">
        <v>261</v>
      </c>
      <c r="J179" s="119" t="s">
        <v>262</v>
      </c>
      <c r="K179" s="119" t="s">
        <v>219</v>
      </c>
      <c r="L179" s="122">
        <v>2026.0</v>
      </c>
      <c r="M179" s="119" t="s">
        <v>494</v>
      </c>
      <c r="N179" s="120"/>
      <c r="O179" s="123" t="str">
        <f>IF(ISBLANK(A179), "", IF(AND(LOWER(TRIM(K179))=LOWER(TRIM(PANEL!$L$2)), L179=PANEL!$I$2), MAX($O$4:O178)+1, ""))</f>
        <v/>
      </c>
      <c r="P179" s="101" t="str">
        <f t="shared" si="1"/>
        <v>Q1</v>
      </c>
    </row>
    <row r="180" ht="21.75" customHeight="1">
      <c r="A180" s="109" t="s">
        <v>613</v>
      </c>
      <c r="B180" s="110" t="s">
        <v>598</v>
      </c>
      <c r="C180" s="111" t="s">
        <v>493</v>
      </c>
      <c r="D180" s="111" t="s">
        <v>138</v>
      </c>
      <c r="E180" s="124" t="s">
        <v>258</v>
      </c>
      <c r="F180" s="124" t="s">
        <v>259</v>
      </c>
      <c r="G180" s="124" t="s">
        <v>614</v>
      </c>
      <c r="H180" s="113">
        <v>8500.0</v>
      </c>
      <c r="I180" s="111" t="s">
        <v>261</v>
      </c>
      <c r="J180" s="111" t="s">
        <v>262</v>
      </c>
      <c r="K180" s="111" t="s">
        <v>219</v>
      </c>
      <c r="L180" s="115">
        <v>2026.0</v>
      </c>
      <c r="M180" s="111" t="s">
        <v>494</v>
      </c>
      <c r="N180" s="124"/>
      <c r="O180" s="116" t="str">
        <f>IF(ISBLANK(A180), "", IF(AND(LOWER(TRIM(K180))=LOWER(TRIM(PANEL!$L$2)), L180=PANEL!$I$2), MAX($O$4:O179)+1, ""))</f>
        <v/>
      </c>
      <c r="P180" s="100" t="str">
        <f t="shared" si="1"/>
        <v>Q1</v>
      </c>
    </row>
    <row r="181" ht="21.75" customHeight="1">
      <c r="A181" s="117" t="s">
        <v>615</v>
      </c>
      <c r="B181" s="118" t="s">
        <v>598</v>
      </c>
      <c r="C181" s="119" t="s">
        <v>493</v>
      </c>
      <c r="D181" s="119" t="s">
        <v>138</v>
      </c>
      <c r="E181" s="120" t="s">
        <v>62</v>
      </c>
      <c r="F181" s="120" t="s">
        <v>168</v>
      </c>
      <c r="G181" s="120" t="s">
        <v>616</v>
      </c>
      <c r="H181" s="121">
        <v>168318.0</v>
      </c>
      <c r="I181" s="119" t="s">
        <v>261</v>
      </c>
      <c r="J181" s="119" t="s">
        <v>262</v>
      </c>
      <c r="K181" s="119" t="s">
        <v>219</v>
      </c>
      <c r="L181" s="122">
        <v>2026.0</v>
      </c>
      <c r="M181" s="119" t="s">
        <v>494</v>
      </c>
      <c r="N181" s="120"/>
      <c r="O181" s="123" t="str">
        <f>IF(ISBLANK(A181), "", IF(AND(LOWER(TRIM(K181))=LOWER(TRIM(PANEL!$L$2)), L181=PANEL!$I$2), MAX($O$4:O180)+1, ""))</f>
        <v/>
      </c>
      <c r="P181" s="101" t="str">
        <f t="shared" si="1"/>
        <v>Q1</v>
      </c>
    </row>
    <row r="182" ht="21.75" customHeight="1">
      <c r="A182" s="109" t="s">
        <v>617</v>
      </c>
      <c r="B182" s="110" t="s">
        <v>598</v>
      </c>
      <c r="C182" s="111" t="s">
        <v>493</v>
      </c>
      <c r="D182" s="111" t="s">
        <v>138</v>
      </c>
      <c r="E182" s="124" t="s">
        <v>179</v>
      </c>
      <c r="F182" s="124" t="s">
        <v>499</v>
      </c>
      <c r="G182" s="124" t="s">
        <v>467</v>
      </c>
      <c r="H182" s="113">
        <v>60000.0</v>
      </c>
      <c r="I182" s="111" t="s">
        <v>261</v>
      </c>
      <c r="J182" s="111" t="s">
        <v>262</v>
      </c>
      <c r="K182" s="111" t="s">
        <v>219</v>
      </c>
      <c r="L182" s="115">
        <v>2026.0</v>
      </c>
      <c r="M182" s="111" t="s">
        <v>494</v>
      </c>
      <c r="N182" s="124"/>
      <c r="O182" s="116" t="str">
        <f>IF(ISBLANK(A182), "", IF(AND(LOWER(TRIM(K182))=LOWER(TRIM(PANEL!$L$2)), L182=PANEL!$I$2), MAX($O$4:O181)+1, ""))</f>
        <v/>
      </c>
      <c r="P182" s="100" t="str">
        <f t="shared" si="1"/>
        <v>Q1</v>
      </c>
    </row>
    <row r="183" ht="21.75" customHeight="1">
      <c r="A183" s="117" t="s">
        <v>618</v>
      </c>
      <c r="B183" s="118" t="s">
        <v>598</v>
      </c>
      <c r="C183" s="119" t="s">
        <v>493</v>
      </c>
      <c r="D183" s="119" t="s">
        <v>138</v>
      </c>
      <c r="E183" s="120" t="s">
        <v>179</v>
      </c>
      <c r="F183" s="120" t="s">
        <v>499</v>
      </c>
      <c r="G183" s="120" t="s">
        <v>515</v>
      </c>
      <c r="H183" s="121">
        <v>124000.0</v>
      </c>
      <c r="I183" s="119" t="s">
        <v>261</v>
      </c>
      <c r="J183" s="119" t="s">
        <v>262</v>
      </c>
      <c r="K183" s="119" t="s">
        <v>219</v>
      </c>
      <c r="L183" s="122">
        <v>2026.0</v>
      </c>
      <c r="M183" s="119" t="s">
        <v>494</v>
      </c>
      <c r="N183" s="120"/>
      <c r="O183" s="123" t="str">
        <f>IF(ISBLANK(A183), "", IF(AND(LOWER(TRIM(K183))=LOWER(TRIM(PANEL!$L$2)), L183=PANEL!$I$2), MAX($O$4:O182)+1, ""))</f>
        <v/>
      </c>
      <c r="P183" s="101" t="str">
        <f t="shared" si="1"/>
        <v>Q1</v>
      </c>
    </row>
    <row r="184" ht="21.75" customHeight="1">
      <c r="A184" s="109" t="s">
        <v>619</v>
      </c>
      <c r="B184" s="110" t="s">
        <v>620</v>
      </c>
      <c r="C184" s="111" t="s">
        <v>493</v>
      </c>
      <c r="D184" s="111" t="s">
        <v>191</v>
      </c>
      <c r="E184" s="124" t="s">
        <v>192</v>
      </c>
      <c r="F184" s="124" t="s">
        <v>193</v>
      </c>
      <c r="G184" s="124" t="s">
        <v>194</v>
      </c>
      <c r="H184" s="113">
        <v>1758916.0</v>
      </c>
      <c r="I184" s="111" t="s">
        <v>261</v>
      </c>
      <c r="J184" s="111" t="s">
        <v>262</v>
      </c>
      <c r="K184" s="111" t="s">
        <v>212</v>
      </c>
      <c r="L184" s="115">
        <v>2026.0</v>
      </c>
      <c r="M184" s="111" t="s">
        <v>494</v>
      </c>
      <c r="N184" s="124"/>
      <c r="O184" s="116" t="str">
        <f>IF(ISBLANK(A184), "", IF(AND(LOWER(TRIM(K184))=LOWER(TRIM(PANEL!$L$2)), L184=PANEL!$I$2), MAX($O$4:O183)+1, ""))</f>
        <v/>
      </c>
      <c r="P184" s="100" t="str">
        <f t="shared" si="1"/>
        <v>Q2</v>
      </c>
    </row>
    <row r="185" ht="21.75" customHeight="1">
      <c r="A185" s="117" t="s">
        <v>621</v>
      </c>
      <c r="B185" s="118" t="s">
        <v>620</v>
      </c>
      <c r="C185" s="119" t="s">
        <v>493</v>
      </c>
      <c r="D185" s="119" t="s">
        <v>138</v>
      </c>
      <c r="E185" s="120" t="s">
        <v>155</v>
      </c>
      <c r="F185" s="120" t="s">
        <v>156</v>
      </c>
      <c r="G185" s="120" t="s">
        <v>436</v>
      </c>
      <c r="H185" s="121">
        <v>60000.0</v>
      </c>
      <c r="I185" s="119" t="s">
        <v>261</v>
      </c>
      <c r="J185" s="119" t="s">
        <v>262</v>
      </c>
      <c r="K185" s="119" t="s">
        <v>212</v>
      </c>
      <c r="L185" s="122">
        <v>2026.0</v>
      </c>
      <c r="M185" s="119" t="s">
        <v>494</v>
      </c>
      <c r="N185" s="120"/>
      <c r="O185" s="123" t="str">
        <f>IF(ISBLANK(A185), "", IF(AND(LOWER(TRIM(K185))=LOWER(TRIM(PANEL!$L$2)), L185=PANEL!$I$2), MAX($O$4:O184)+1, ""))</f>
        <v/>
      </c>
      <c r="P185" s="101" t="str">
        <f t="shared" si="1"/>
        <v>Q2</v>
      </c>
    </row>
    <row r="186" ht="21.75" customHeight="1">
      <c r="A186" s="109" t="s">
        <v>622</v>
      </c>
      <c r="B186" s="110" t="s">
        <v>620</v>
      </c>
      <c r="C186" s="111" t="s">
        <v>493</v>
      </c>
      <c r="D186" s="111" t="s">
        <v>138</v>
      </c>
      <c r="E186" s="124" t="s">
        <v>258</v>
      </c>
      <c r="F186" s="124" t="s">
        <v>259</v>
      </c>
      <c r="G186" s="124" t="s">
        <v>477</v>
      </c>
      <c r="H186" s="113">
        <v>40000.0</v>
      </c>
      <c r="I186" s="111" t="s">
        <v>261</v>
      </c>
      <c r="J186" s="111" t="s">
        <v>262</v>
      </c>
      <c r="K186" s="111" t="s">
        <v>212</v>
      </c>
      <c r="L186" s="115">
        <v>2026.0</v>
      </c>
      <c r="M186" s="111" t="s">
        <v>494</v>
      </c>
      <c r="N186" s="124"/>
      <c r="O186" s="116" t="str">
        <f>IF(ISBLANK(A186), "", IF(AND(LOWER(TRIM(K186))=LOWER(TRIM(PANEL!$L$2)), L186=PANEL!$I$2), MAX($O$4:O185)+1, ""))</f>
        <v/>
      </c>
      <c r="P186" s="100" t="str">
        <f t="shared" si="1"/>
        <v>Q2</v>
      </c>
    </row>
    <row r="187" ht="21.75" customHeight="1">
      <c r="A187" s="117" t="s">
        <v>623</v>
      </c>
      <c r="B187" s="118" t="s">
        <v>620</v>
      </c>
      <c r="C187" s="119" t="s">
        <v>493</v>
      </c>
      <c r="D187" s="119" t="s">
        <v>138</v>
      </c>
      <c r="E187" s="120" t="s">
        <v>571</v>
      </c>
      <c r="F187" s="120" t="s">
        <v>572</v>
      </c>
      <c r="G187" s="120" t="s">
        <v>589</v>
      </c>
      <c r="H187" s="121">
        <v>146000.0</v>
      </c>
      <c r="I187" s="119" t="s">
        <v>261</v>
      </c>
      <c r="J187" s="119" t="s">
        <v>262</v>
      </c>
      <c r="K187" s="119" t="s">
        <v>212</v>
      </c>
      <c r="L187" s="122">
        <v>2026.0</v>
      </c>
      <c r="M187" s="119" t="s">
        <v>494</v>
      </c>
      <c r="N187" s="120"/>
      <c r="O187" s="123" t="str">
        <f>IF(ISBLANK(A187), "", IF(AND(LOWER(TRIM(K187))=LOWER(TRIM(PANEL!$L$2)), L187=PANEL!$I$2), MAX($O$4:O186)+1, ""))</f>
        <v/>
      </c>
      <c r="P187" s="101" t="str">
        <f t="shared" si="1"/>
        <v>Q2</v>
      </c>
    </row>
    <row r="188" ht="21.75" customHeight="1">
      <c r="A188" s="109" t="s">
        <v>624</v>
      </c>
      <c r="B188" s="110" t="s">
        <v>620</v>
      </c>
      <c r="C188" s="111" t="s">
        <v>493</v>
      </c>
      <c r="D188" s="111" t="s">
        <v>138</v>
      </c>
      <c r="E188" s="124" t="s">
        <v>155</v>
      </c>
      <c r="F188" s="124" t="s">
        <v>161</v>
      </c>
      <c r="G188" s="124" t="s">
        <v>411</v>
      </c>
      <c r="H188" s="113">
        <v>35000.0</v>
      </c>
      <c r="I188" s="111" t="s">
        <v>261</v>
      </c>
      <c r="J188" s="111" t="s">
        <v>262</v>
      </c>
      <c r="K188" s="111" t="s">
        <v>212</v>
      </c>
      <c r="L188" s="115">
        <v>2026.0</v>
      </c>
      <c r="M188" s="111" t="s">
        <v>494</v>
      </c>
      <c r="N188" s="124"/>
      <c r="O188" s="116" t="str">
        <f>IF(ISBLANK(A188), "", IF(AND(LOWER(TRIM(K188))=LOWER(TRIM(PANEL!$L$2)), L188=PANEL!$I$2), MAX($O$4:O187)+1, ""))</f>
        <v/>
      </c>
      <c r="P188" s="100" t="str">
        <f t="shared" si="1"/>
        <v>Q2</v>
      </c>
    </row>
    <row r="189" ht="21.75" customHeight="1">
      <c r="A189" s="117" t="s">
        <v>625</v>
      </c>
      <c r="B189" s="118" t="s">
        <v>620</v>
      </c>
      <c r="C189" s="119" t="s">
        <v>493</v>
      </c>
      <c r="D189" s="119" t="s">
        <v>138</v>
      </c>
      <c r="E189" s="120" t="s">
        <v>179</v>
      </c>
      <c r="F189" s="120" t="s">
        <v>499</v>
      </c>
      <c r="G189" s="120" t="s">
        <v>594</v>
      </c>
      <c r="H189" s="121">
        <v>48000.0</v>
      </c>
      <c r="I189" s="119" t="s">
        <v>261</v>
      </c>
      <c r="J189" s="119" t="s">
        <v>262</v>
      </c>
      <c r="K189" s="119" t="s">
        <v>212</v>
      </c>
      <c r="L189" s="122">
        <v>2026.0</v>
      </c>
      <c r="M189" s="119" t="s">
        <v>494</v>
      </c>
      <c r="N189" s="120"/>
      <c r="O189" s="123" t="str">
        <f>IF(ISBLANK(A189), "", IF(AND(LOWER(TRIM(K189))=LOWER(TRIM(PANEL!$L$2)), L189=PANEL!$I$2), MAX($O$4:O188)+1, ""))</f>
        <v/>
      </c>
      <c r="P189" s="101" t="str">
        <f t="shared" si="1"/>
        <v>Q2</v>
      </c>
    </row>
    <row r="190" ht="21.75" customHeight="1">
      <c r="A190" s="109" t="s">
        <v>626</v>
      </c>
      <c r="B190" s="110" t="s">
        <v>620</v>
      </c>
      <c r="C190" s="111" t="s">
        <v>493</v>
      </c>
      <c r="D190" s="111" t="s">
        <v>138</v>
      </c>
      <c r="E190" s="124" t="s">
        <v>533</v>
      </c>
      <c r="F190" s="124" t="s">
        <v>534</v>
      </c>
      <c r="G190" s="124" t="s">
        <v>559</v>
      </c>
      <c r="H190" s="113">
        <v>65000.0</v>
      </c>
      <c r="I190" s="111" t="s">
        <v>261</v>
      </c>
      <c r="J190" s="111" t="s">
        <v>262</v>
      </c>
      <c r="K190" s="111" t="s">
        <v>212</v>
      </c>
      <c r="L190" s="115">
        <v>2026.0</v>
      </c>
      <c r="M190" s="111" t="s">
        <v>494</v>
      </c>
      <c r="N190" s="124"/>
      <c r="O190" s="116" t="str">
        <f>IF(ISBLANK(A190), "", IF(AND(LOWER(TRIM(K190))=LOWER(TRIM(PANEL!$L$2)), L190=PANEL!$I$2), MAX($O$4:O189)+1, ""))</f>
        <v/>
      </c>
      <c r="P190" s="100" t="str">
        <f t="shared" si="1"/>
        <v>Q2</v>
      </c>
    </row>
    <row r="191" ht="21.75" customHeight="1">
      <c r="A191" s="117" t="s">
        <v>627</v>
      </c>
      <c r="B191" s="118" t="s">
        <v>620</v>
      </c>
      <c r="C191" s="119" t="s">
        <v>493</v>
      </c>
      <c r="D191" s="119" t="s">
        <v>138</v>
      </c>
      <c r="E191" s="120" t="s">
        <v>173</v>
      </c>
      <c r="F191" s="120" t="s">
        <v>501</v>
      </c>
      <c r="G191" s="120" t="s">
        <v>50</v>
      </c>
      <c r="H191" s="121">
        <v>900000.0</v>
      </c>
      <c r="I191" s="119" t="s">
        <v>261</v>
      </c>
      <c r="J191" s="119" t="s">
        <v>262</v>
      </c>
      <c r="K191" s="119" t="s">
        <v>212</v>
      </c>
      <c r="L191" s="122">
        <v>2026.0</v>
      </c>
      <c r="M191" s="119" t="s">
        <v>494</v>
      </c>
      <c r="N191" s="120"/>
      <c r="O191" s="123" t="str">
        <f>IF(ISBLANK(A191), "", IF(AND(LOWER(TRIM(K191))=LOWER(TRIM(PANEL!$L$2)), L191=PANEL!$I$2), MAX($O$4:O190)+1, ""))</f>
        <v/>
      </c>
      <c r="P191" s="101" t="str">
        <f t="shared" si="1"/>
        <v>Q2</v>
      </c>
    </row>
    <row r="192" ht="21.75" customHeight="1">
      <c r="A192" s="109" t="s">
        <v>628</v>
      </c>
      <c r="B192" s="110" t="s">
        <v>629</v>
      </c>
      <c r="C192" s="111" t="s">
        <v>493</v>
      </c>
      <c r="D192" s="111" t="s">
        <v>191</v>
      </c>
      <c r="E192" s="124" t="s">
        <v>192</v>
      </c>
      <c r="F192" s="124" t="s">
        <v>193</v>
      </c>
      <c r="G192" s="124" t="s">
        <v>194</v>
      </c>
      <c r="H192" s="113">
        <v>1750495.0</v>
      </c>
      <c r="I192" s="111" t="s">
        <v>261</v>
      </c>
      <c r="J192" s="111" t="s">
        <v>262</v>
      </c>
      <c r="K192" s="111" t="s">
        <v>212</v>
      </c>
      <c r="L192" s="115">
        <v>2026.0</v>
      </c>
      <c r="M192" s="111" t="s">
        <v>494</v>
      </c>
      <c r="N192" s="124"/>
      <c r="O192" s="116" t="str">
        <f>IF(ISBLANK(A192), "", IF(AND(LOWER(TRIM(K192))=LOWER(TRIM(PANEL!$L$2)), L192=PANEL!$I$2), MAX($O$4:O191)+1, ""))</f>
        <v/>
      </c>
      <c r="P192" s="100" t="str">
        <f t="shared" si="1"/>
        <v>Q1</v>
      </c>
    </row>
    <row r="193" ht="21.75" customHeight="1">
      <c r="A193" s="117" t="s">
        <v>630</v>
      </c>
      <c r="B193" s="118" t="s">
        <v>629</v>
      </c>
      <c r="C193" s="119" t="s">
        <v>493</v>
      </c>
      <c r="D193" s="119" t="s">
        <v>138</v>
      </c>
      <c r="E193" s="120" t="s">
        <v>139</v>
      </c>
      <c r="F193" s="120" t="s">
        <v>507</v>
      </c>
      <c r="G193" s="120" t="s">
        <v>333</v>
      </c>
      <c r="H193" s="121">
        <v>10000.0</v>
      </c>
      <c r="I193" s="119" t="s">
        <v>261</v>
      </c>
      <c r="J193" s="119" t="s">
        <v>262</v>
      </c>
      <c r="K193" s="119" t="s">
        <v>212</v>
      </c>
      <c r="L193" s="122">
        <v>2026.0</v>
      </c>
      <c r="M193" s="119" t="s">
        <v>494</v>
      </c>
      <c r="N193" s="120"/>
      <c r="O193" s="123" t="str">
        <f>IF(ISBLANK(A193), "", IF(AND(LOWER(TRIM(K193))=LOWER(TRIM(PANEL!$L$2)), L193=PANEL!$I$2), MAX($O$4:O192)+1, ""))</f>
        <v/>
      </c>
      <c r="P193" s="101" t="str">
        <f t="shared" si="1"/>
        <v>Q1</v>
      </c>
    </row>
    <row r="194" ht="21.75" customHeight="1">
      <c r="A194" s="109" t="s">
        <v>631</v>
      </c>
      <c r="B194" s="110" t="s">
        <v>629</v>
      </c>
      <c r="C194" s="111" t="s">
        <v>493</v>
      </c>
      <c r="D194" s="111" t="s">
        <v>138</v>
      </c>
      <c r="E194" s="124" t="s">
        <v>179</v>
      </c>
      <c r="F194" s="124" t="s">
        <v>499</v>
      </c>
      <c r="G194" s="124" t="s">
        <v>632</v>
      </c>
      <c r="H194" s="113">
        <v>20000.0</v>
      </c>
      <c r="I194" s="111" t="s">
        <v>261</v>
      </c>
      <c r="J194" s="111" t="s">
        <v>262</v>
      </c>
      <c r="K194" s="111" t="s">
        <v>212</v>
      </c>
      <c r="L194" s="115">
        <v>2026.0</v>
      </c>
      <c r="M194" s="111" t="s">
        <v>494</v>
      </c>
      <c r="N194" s="124"/>
      <c r="O194" s="116" t="str">
        <f>IF(ISBLANK(A194), "", IF(AND(LOWER(TRIM(K194))=LOWER(TRIM(PANEL!$L$2)), L194=PANEL!$I$2), MAX($O$4:O193)+1, ""))</f>
        <v/>
      </c>
      <c r="P194" s="100" t="str">
        <f t="shared" si="1"/>
        <v>Q1</v>
      </c>
    </row>
    <row r="195" ht="21.75" customHeight="1">
      <c r="A195" s="117" t="s">
        <v>633</v>
      </c>
      <c r="B195" s="118" t="s">
        <v>629</v>
      </c>
      <c r="C195" s="119" t="s">
        <v>493</v>
      </c>
      <c r="D195" s="119" t="s">
        <v>138</v>
      </c>
      <c r="E195" s="120" t="s">
        <v>271</v>
      </c>
      <c r="F195" s="120" t="s">
        <v>634</v>
      </c>
      <c r="G195" s="120" t="s">
        <v>635</v>
      </c>
      <c r="H195" s="121">
        <v>146000.0</v>
      </c>
      <c r="I195" s="119" t="s">
        <v>261</v>
      </c>
      <c r="J195" s="119" t="s">
        <v>262</v>
      </c>
      <c r="K195" s="119" t="s">
        <v>212</v>
      </c>
      <c r="L195" s="122">
        <v>2026.0</v>
      </c>
      <c r="M195" s="119" t="s">
        <v>494</v>
      </c>
      <c r="N195" s="120"/>
      <c r="O195" s="123" t="str">
        <f>IF(ISBLANK(A195), "", IF(AND(LOWER(TRIM(K195))=LOWER(TRIM(PANEL!$L$2)), L195=PANEL!$I$2), MAX($O$4:O194)+1, ""))</f>
        <v/>
      </c>
      <c r="P195" s="101" t="str">
        <f t="shared" si="1"/>
        <v>Q1</v>
      </c>
    </row>
    <row r="196" ht="21.75" customHeight="1">
      <c r="A196" s="109" t="s">
        <v>636</v>
      </c>
      <c r="B196" s="110" t="s">
        <v>629</v>
      </c>
      <c r="C196" s="111" t="s">
        <v>493</v>
      </c>
      <c r="D196" s="111" t="s">
        <v>138</v>
      </c>
      <c r="E196" s="124" t="s">
        <v>62</v>
      </c>
      <c r="F196" s="124" t="s">
        <v>168</v>
      </c>
      <c r="G196" s="124" t="s">
        <v>637</v>
      </c>
      <c r="H196" s="113">
        <v>167000.0</v>
      </c>
      <c r="I196" s="111" t="s">
        <v>261</v>
      </c>
      <c r="J196" s="111" t="s">
        <v>262</v>
      </c>
      <c r="K196" s="111" t="s">
        <v>212</v>
      </c>
      <c r="L196" s="115">
        <v>2026.0</v>
      </c>
      <c r="M196" s="111" t="s">
        <v>494</v>
      </c>
      <c r="N196" s="124"/>
      <c r="O196" s="116" t="str">
        <f>IF(ISBLANK(A196), "", IF(AND(LOWER(TRIM(K196))=LOWER(TRIM(PANEL!$L$2)), L196=PANEL!$I$2), MAX($O$4:O195)+1, ""))</f>
        <v/>
      </c>
      <c r="P196" s="100" t="str">
        <f t="shared" si="1"/>
        <v>Q1</v>
      </c>
    </row>
    <row r="197" ht="21.75" customHeight="1">
      <c r="A197" s="117" t="s">
        <v>638</v>
      </c>
      <c r="B197" s="118" t="s">
        <v>629</v>
      </c>
      <c r="C197" s="119" t="s">
        <v>493</v>
      </c>
      <c r="D197" s="119" t="s">
        <v>138</v>
      </c>
      <c r="E197" s="120" t="s">
        <v>155</v>
      </c>
      <c r="F197" s="120" t="s">
        <v>161</v>
      </c>
      <c r="G197" s="120" t="s">
        <v>411</v>
      </c>
      <c r="H197" s="121">
        <v>35000.0</v>
      </c>
      <c r="I197" s="119" t="s">
        <v>261</v>
      </c>
      <c r="J197" s="119" t="s">
        <v>262</v>
      </c>
      <c r="K197" s="119" t="s">
        <v>212</v>
      </c>
      <c r="L197" s="122">
        <v>2026.0</v>
      </c>
      <c r="M197" s="119" t="s">
        <v>494</v>
      </c>
      <c r="N197" s="120"/>
      <c r="O197" s="123" t="str">
        <f>IF(ISBLANK(A197), "", IF(AND(LOWER(TRIM(K197))=LOWER(TRIM(PANEL!$L$2)), L197=PANEL!$I$2), MAX($O$4:O196)+1, ""))</f>
        <v/>
      </c>
      <c r="P197" s="101" t="str">
        <f t="shared" si="1"/>
        <v>Q1</v>
      </c>
    </row>
    <row r="198" ht="21.75" customHeight="1">
      <c r="A198" s="109" t="s">
        <v>639</v>
      </c>
      <c r="B198" s="110" t="s">
        <v>629</v>
      </c>
      <c r="C198" s="111" t="s">
        <v>493</v>
      </c>
      <c r="D198" s="111" t="s">
        <v>138</v>
      </c>
      <c r="E198" s="124" t="s">
        <v>533</v>
      </c>
      <c r="F198" s="124" t="s">
        <v>534</v>
      </c>
      <c r="G198" s="124" t="s">
        <v>640</v>
      </c>
      <c r="H198" s="113">
        <v>80000.0</v>
      </c>
      <c r="I198" s="111" t="s">
        <v>261</v>
      </c>
      <c r="J198" s="111" t="s">
        <v>262</v>
      </c>
      <c r="K198" s="111" t="s">
        <v>212</v>
      </c>
      <c r="L198" s="115">
        <v>2026.0</v>
      </c>
      <c r="M198" s="111" t="s">
        <v>494</v>
      </c>
      <c r="N198" s="124"/>
      <c r="O198" s="116" t="str">
        <f>IF(ISBLANK(A198), "", IF(AND(LOWER(TRIM(K198))=LOWER(TRIM(PANEL!$L$2)), L198=PANEL!$I$2), MAX($O$4:O197)+1, ""))</f>
        <v/>
      </c>
      <c r="P198" s="100" t="str">
        <f t="shared" si="1"/>
        <v>Q1</v>
      </c>
    </row>
    <row r="199" ht="21.75" customHeight="1">
      <c r="A199" s="117" t="s">
        <v>641</v>
      </c>
      <c r="B199" s="118" t="s">
        <v>629</v>
      </c>
      <c r="C199" s="119" t="s">
        <v>493</v>
      </c>
      <c r="D199" s="119" t="s">
        <v>138</v>
      </c>
      <c r="E199" s="120" t="s">
        <v>258</v>
      </c>
      <c r="F199" s="120" t="s">
        <v>259</v>
      </c>
      <c r="G199" s="120" t="s">
        <v>477</v>
      </c>
      <c r="H199" s="121">
        <v>40000.0</v>
      </c>
      <c r="I199" s="119" t="s">
        <v>261</v>
      </c>
      <c r="J199" s="119" t="s">
        <v>262</v>
      </c>
      <c r="K199" s="119" t="s">
        <v>212</v>
      </c>
      <c r="L199" s="122">
        <v>2026.0</v>
      </c>
      <c r="M199" s="119" t="s">
        <v>494</v>
      </c>
      <c r="N199" s="120"/>
      <c r="O199" s="123" t="str">
        <f>IF(ISBLANK(A199), "", IF(AND(LOWER(TRIM(K199))=LOWER(TRIM(PANEL!$L$2)), L199=PANEL!$I$2), MAX($O$4:O198)+1, ""))</f>
        <v/>
      </c>
      <c r="P199" s="101" t="str">
        <f t="shared" si="1"/>
        <v>Q1</v>
      </c>
    </row>
    <row r="200" ht="21.75" customHeight="1">
      <c r="A200" s="109" t="s">
        <v>642</v>
      </c>
      <c r="B200" s="110" t="s">
        <v>629</v>
      </c>
      <c r="C200" s="111" t="s">
        <v>493</v>
      </c>
      <c r="D200" s="111" t="s">
        <v>138</v>
      </c>
      <c r="E200" s="124" t="s">
        <v>179</v>
      </c>
      <c r="F200" s="124" t="s">
        <v>499</v>
      </c>
      <c r="G200" s="124" t="s">
        <v>471</v>
      </c>
      <c r="H200" s="113">
        <v>52000.0</v>
      </c>
      <c r="I200" s="111" t="s">
        <v>261</v>
      </c>
      <c r="J200" s="111" t="s">
        <v>262</v>
      </c>
      <c r="K200" s="111" t="s">
        <v>212</v>
      </c>
      <c r="L200" s="115">
        <v>2026.0</v>
      </c>
      <c r="M200" s="111" t="s">
        <v>494</v>
      </c>
      <c r="N200" s="124"/>
      <c r="O200" s="116" t="str">
        <f>IF(ISBLANK(A200), "", IF(AND(LOWER(TRIM(K200))=LOWER(TRIM(PANEL!$L$2)), L200=PANEL!$I$2), MAX($O$4:O199)+1, ""))</f>
        <v/>
      </c>
      <c r="P200" s="100" t="str">
        <f t="shared" si="1"/>
        <v>Q1</v>
      </c>
    </row>
    <row r="201" ht="21.75" customHeight="1">
      <c r="A201" s="117" t="s">
        <v>643</v>
      </c>
      <c r="B201" s="118" t="s">
        <v>629</v>
      </c>
      <c r="C201" s="119" t="s">
        <v>493</v>
      </c>
      <c r="D201" s="119" t="s">
        <v>138</v>
      </c>
      <c r="E201" s="120" t="s">
        <v>48</v>
      </c>
      <c r="F201" s="120" t="s">
        <v>168</v>
      </c>
      <c r="G201" s="120" t="s">
        <v>644</v>
      </c>
      <c r="H201" s="121">
        <v>850000.0</v>
      </c>
      <c r="I201" s="119" t="s">
        <v>261</v>
      </c>
      <c r="J201" s="119" t="s">
        <v>262</v>
      </c>
      <c r="K201" s="119" t="s">
        <v>212</v>
      </c>
      <c r="L201" s="122">
        <v>2026.0</v>
      </c>
      <c r="M201" s="119" t="s">
        <v>494</v>
      </c>
      <c r="N201" s="120"/>
      <c r="O201" s="123" t="str">
        <f>IF(ISBLANK(A201), "", IF(AND(LOWER(TRIM(K201))=LOWER(TRIM(PANEL!$L$2)), L201=PANEL!$I$2), MAX($O$4:O200)+1, ""))</f>
        <v/>
      </c>
      <c r="P201" s="101" t="str">
        <f t="shared" si="1"/>
        <v>Q1</v>
      </c>
    </row>
    <row r="202" ht="21.75" customHeight="1">
      <c r="A202" s="109" t="s">
        <v>645</v>
      </c>
      <c r="B202" s="110" t="s">
        <v>629</v>
      </c>
      <c r="C202" s="111" t="s">
        <v>493</v>
      </c>
      <c r="D202" s="111" t="s">
        <v>138</v>
      </c>
      <c r="E202" s="124" t="s">
        <v>179</v>
      </c>
      <c r="F202" s="124" t="s">
        <v>499</v>
      </c>
      <c r="G202" s="124" t="s">
        <v>646</v>
      </c>
      <c r="H202" s="113">
        <v>120000.0</v>
      </c>
      <c r="I202" s="111" t="s">
        <v>261</v>
      </c>
      <c r="J202" s="111" t="s">
        <v>262</v>
      </c>
      <c r="K202" s="111" t="s">
        <v>212</v>
      </c>
      <c r="L202" s="115">
        <v>2026.0</v>
      </c>
      <c r="M202" s="111" t="s">
        <v>494</v>
      </c>
      <c r="N202" s="124"/>
      <c r="O202" s="116" t="str">
        <f>IF(ISBLANK(A202), "", IF(AND(LOWER(TRIM(K202))=LOWER(TRIM(PANEL!$L$2)), L202=PANEL!$I$2), MAX($O$4:O201)+1, ""))</f>
        <v/>
      </c>
      <c r="P202" s="100" t="str">
        <f t="shared" si="1"/>
        <v>Q1</v>
      </c>
    </row>
    <row r="203" ht="21.75" customHeight="1">
      <c r="A203" s="117" t="s">
        <v>647</v>
      </c>
      <c r="B203" s="118" t="s">
        <v>648</v>
      </c>
      <c r="C203" s="119" t="s">
        <v>649</v>
      </c>
      <c r="D203" s="119" t="s">
        <v>191</v>
      </c>
      <c r="E203" s="120" t="s">
        <v>192</v>
      </c>
      <c r="F203" s="120" t="s">
        <v>193</v>
      </c>
      <c r="G203" s="120" t="s">
        <v>194</v>
      </c>
      <c r="H203" s="121">
        <v>1046300.0</v>
      </c>
      <c r="I203" s="119" t="s">
        <v>195</v>
      </c>
      <c r="J203" s="119" t="s">
        <v>291</v>
      </c>
      <c r="K203" s="119" t="s">
        <v>205</v>
      </c>
      <c r="L203" s="122">
        <v>2026.0</v>
      </c>
      <c r="M203" s="119" t="s">
        <v>159</v>
      </c>
      <c r="N203" s="120"/>
      <c r="O203" s="123" t="str">
        <f>IF(ISBLANK(A203), "", IF(AND(LOWER(TRIM(K203))=LOWER(TRIM(PANEL!$L$2)), L203=PANEL!$I$2), MAX($O$4:O202)+1, ""))</f>
        <v/>
      </c>
      <c r="P203" s="101" t="str">
        <f t="shared" si="1"/>
        <v>Q2</v>
      </c>
    </row>
    <row r="204" ht="21.75" customHeight="1">
      <c r="A204" s="109" t="s">
        <v>650</v>
      </c>
      <c r="B204" s="110" t="s">
        <v>648</v>
      </c>
      <c r="C204" s="111" t="s">
        <v>493</v>
      </c>
      <c r="D204" s="111" t="s">
        <v>138</v>
      </c>
      <c r="E204" s="124" t="s">
        <v>155</v>
      </c>
      <c r="F204" s="124" t="s">
        <v>156</v>
      </c>
      <c r="G204" s="124" t="s">
        <v>436</v>
      </c>
      <c r="H204" s="113">
        <v>40000.0</v>
      </c>
      <c r="I204" s="111" t="s">
        <v>261</v>
      </c>
      <c r="J204" s="111" t="s">
        <v>262</v>
      </c>
      <c r="K204" s="111" t="s">
        <v>205</v>
      </c>
      <c r="L204" s="115">
        <v>2026.0</v>
      </c>
      <c r="M204" s="111" t="s">
        <v>494</v>
      </c>
      <c r="N204" s="124"/>
      <c r="O204" s="116" t="str">
        <f>IF(ISBLANK(A204), "", IF(AND(LOWER(TRIM(K204))=LOWER(TRIM(PANEL!$L$2)), L204=PANEL!$I$2), MAX($O$4:O203)+1, ""))</f>
        <v/>
      </c>
      <c r="P204" s="100" t="str">
        <f t="shared" si="1"/>
        <v>Q2</v>
      </c>
    </row>
    <row r="205" ht="21.75" customHeight="1">
      <c r="A205" s="117" t="s">
        <v>651</v>
      </c>
      <c r="B205" s="118" t="s">
        <v>648</v>
      </c>
      <c r="C205" s="119" t="s">
        <v>493</v>
      </c>
      <c r="D205" s="119" t="s">
        <v>138</v>
      </c>
      <c r="E205" s="120" t="s">
        <v>48</v>
      </c>
      <c r="F205" s="120" t="s">
        <v>168</v>
      </c>
      <c r="G205" s="120" t="s">
        <v>364</v>
      </c>
      <c r="H205" s="121">
        <v>200000.0</v>
      </c>
      <c r="I205" s="119" t="s">
        <v>261</v>
      </c>
      <c r="J205" s="119" t="s">
        <v>262</v>
      </c>
      <c r="K205" s="119" t="s">
        <v>205</v>
      </c>
      <c r="L205" s="122">
        <v>2026.0</v>
      </c>
      <c r="M205" s="119" t="s">
        <v>494</v>
      </c>
      <c r="N205" s="120"/>
      <c r="O205" s="123" t="str">
        <f>IF(ISBLANK(A205), "", IF(AND(LOWER(TRIM(K205))=LOWER(TRIM(PANEL!$L$2)), L205=PANEL!$I$2), MAX($O$4:O204)+1, ""))</f>
        <v/>
      </c>
      <c r="P205" s="101" t="str">
        <f t="shared" si="1"/>
        <v>Q2</v>
      </c>
    </row>
    <row r="206" ht="21.75" customHeight="1">
      <c r="A206" s="109" t="s">
        <v>652</v>
      </c>
      <c r="B206" s="110" t="s">
        <v>648</v>
      </c>
      <c r="C206" s="111" t="s">
        <v>493</v>
      </c>
      <c r="D206" s="111" t="s">
        <v>138</v>
      </c>
      <c r="E206" s="124" t="s">
        <v>258</v>
      </c>
      <c r="F206" s="124" t="s">
        <v>259</v>
      </c>
      <c r="G206" s="124" t="s">
        <v>477</v>
      </c>
      <c r="H206" s="113">
        <v>40000.0</v>
      </c>
      <c r="I206" s="111" t="s">
        <v>261</v>
      </c>
      <c r="J206" s="111" t="s">
        <v>262</v>
      </c>
      <c r="K206" s="111" t="s">
        <v>205</v>
      </c>
      <c r="L206" s="115">
        <v>2026.0</v>
      </c>
      <c r="M206" s="111" t="s">
        <v>494</v>
      </c>
      <c r="N206" s="124"/>
      <c r="O206" s="116" t="str">
        <f>IF(ISBLANK(A206), "", IF(AND(LOWER(TRIM(K206))=LOWER(TRIM(PANEL!$L$2)), L206=PANEL!$I$2), MAX($O$4:O205)+1, ""))</f>
        <v/>
      </c>
      <c r="P206" s="100" t="str">
        <f t="shared" si="1"/>
        <v>Q2</v>
      </c>
    </row>
    <row r="207" ht="21.75" customHeight="1">
      <c r="A207" s="117" t="s">
        <v>653</v>
      </c>
      <c r="B207" s="118" t="s">
        <v>648</v>
      </c>
      <c r="C207" s="119" t="s">
        <v>493</v>
      </c>
      <c r="D207" s="119" t="s">
        <v>138</v>
      </c>
      <c r="E207" s="120" t="s">
        <v>155</v>
      </c>
      <c r="F207" s="120" t="s">
        <v>161</v>
      </c>
      <c r="G207" s="120" t="s">
        <v>411</v>
      </c>
      <c r="H207" s="121">
        <v>25000.0</v>
      </c>
      <c r="I207" s="119" t="s">
        <v>261</v>
      </c>
      <c r="J207" s="119" t="s">
        <v>262</v>
      </c>
      <c r="K207" s="119" t="s">
        <v>205</v>
      </c>
      <c r="L207" s="122">
        <v>2026.0</v>
      </c>
      <c r="M207" s="119" t="s">
        <v>494</v>
      </c>
      <c r="N207" s="120"/>
      <c r="O207" s="123" t="str">
        <f>IF(ISBLANK(A207), "", IF(AND(LOWER(TRIM(K207))=LOWER(TRIM(PANEL!$L$2)), L207=PANEL!$I$2), MAX($O$4:O206)+1, ""))</f>
        <v/>
      </c>
      <c r="P207" s="101" t="str">
        <f t="shared" si="1"/>
        <v>Q2</v>
      </c>
    </row>
    <row r="208" ht="21.75" customHeight="1">
      <c r="A208" s="109" t="s">
        <v>654</v>
      </c>
      <c r="B208" s="110" t="s">
        <v>648</v>
      </c>
      <c r="C208" s="111" t="s">
        <v>493</v>
      </c>
      <c r="D208" s="111" t="s">
        <v>138</v>
      </c>
      <c r="E208" s="124" t="s">
        <v>533</v>
      </c>
      <c r="F208" s="124" t="s">
        <v>534</v>
      </c>
      <c r="G208" s="124" t="s">
        <v>559</v>
      </c>
      <c r="H208" s="113">
        <v>65000.0</v>
      </c>
      <c r="I208" s="111" t="s">
        <v>261</v>
      </c>
      <c r="J208" s="111" t="s">
        <v>262</v>
      </c>
      <c r="K208" s="111" t="s">
        <v>205</v>
      </c>
      <c r="L208" s="115">
        <v>2026.0</v>
      </c>
      <c r="M208" s="111" t="s">
        <v>494</v>
      </c>
      <c r="N208" s="124"/>
      <c r="O208" s="116" t="str">
        <f>IF(ISBLANK(A208), "", IF(AND(LOWER(TRIM(K208))=LOWER(TRIM(PANEL!$L$2)), L208=PANEL!$I$2), MAX($O$4:O207)+1, ""))</f>
        <v/>
      </c>
      <c r="P208" s="100" t="str">
        <f t="shared" si="1"/>
        <v>Q2</v>
      </c>
    </row>
    <row r="209" ht="21.75" customHeight="1">
      <c r="A209" s="117" t="s">
        <v>655</v>
      </c>
      <c r="B209" s="118" t="s">
        <v>648</v>
      </c>
      <c r="C209" s="119" t="s">
        <v>493</v>
      </c>
      <c r="D209" s="119" t="s">
        <v>138</v>
      </c>
      <c r="E209" s="120" t="s">
        <v>173</v>
      </c>
      <c r="F209" s="120" t="s">
        <v>501</v>
      </c>
      <c r="G209" s="120" t="s">
        <v>50</v>
      </c>
      <c r="H209" s="121">
        <v>900000.0</v>
      </c>
      <c r="I209" s="119" t="s">
        <v>261</v>
      </c>
      <c r="J209" s="119" t="s">
        <v>262</v>
      </c>
      <c r="K209" s="119" t="s">
        <v>205</v>
      </c>
      <c r="L209" s="122">
        <v>2026.0</v>
      </c>
      <c r="M209" s="119" t="s">
        <v>494</v>
      </c>
      <c r="N209" s="120"/>
      <c r="O209" s="123" t="str">
        <f>IF(ISBLANK(A209), "", IF(AND(LOWER(TRIM(K209))=LOWER(TRIM(PANEL!$L$2)), L209=PANEL!$I$2), MAX($O$4:O208)+1, ""))</f>
        <v/>
      </c>
      <c r="P209" s="101" t="str">
        <f t="shared" si="1"/>
        <v>Q2</v>
      </c>
    </row>
    <row r="210" ht="21.75" customHeight="1">
      <c r="A210" s="109" t="s">
        <v>656</v>
      </c>
      <c r="B210" s="110" t="s">
        <v>657</v>
      </c>
      <c r="C210" s="111" t="s">
        <v>658</v>
      </c>
      <c r="D210" s="111" t="s">
        <v>191</v>
      </c>
      <c r="E210" s="124" t="s">
        <v>192</v>
      </c>
      <c r="F210" s="124" t="s">
        <v>193</v>
      </c>
      <c r="G210" s="124" t="s">
        <v>194</v>
      </c>
      <c r="H210" s="113">
        <v>1687372.0</v>
      </c>
      <c r="I210" s="111" t="s">
        <v>195</v>
      </c>
      <c r="J210" s="111" t="s">
        <v>291</v>
      </c>
      <c r="K210" s="111" t="s">
        <v>205</v>
      </c>
      <c r="L210" s="115">
        <v>2026.0</v>
      </c>
      <c r="M210" s="111" t="s">
        <v>159</v>
      </c>
      <c r="N210" s="124"/>
      <c r="O210" s="116" t="str">
        <f>IF(ISBLANK(A210), "", IF(AND(LOWER(TRIM(K210))=LOWER(TRIM(PANEL!$L$2)), L210=PANEL!$I$2), MAX($O$4:O209)+1, ""))</f>
        <v/>
      </c>
      <c r="P210" s="100" t="str">
        <f t="shared" si="1"/>
        <v>Q1</v>
      </c>
    </row>
    <row r="211" ht="21.75" customHeight="1">
      <c r="A211" s="117" t="s">
        <v>659</v>
      </c>
      <c r="B211" s="118" t="s">
        <v>657</v>
      </c>
      <c r="C211" s="119" t="s">
        <v>493</v>
      </c>
      <c r="D211" s="119" t="s">
        <v>138</v>
      </c>
      <c r="E211" s="120" t="s">
        <v>179</v>
      </c>
      <c r="F211" s="120" t="s">
        <v>499</v>
      </c>
      <c r="G211" s="120" t="s">
        <v>400</v>
      </c>
      <c r="H211" s="121">
        <v>39000.0</v>
      </c>
      <c r="I211" s="119" t="s">
        <v>261</v>
      </c>
      <c r="J211" s="119" t="s">
        <v>262</v>
      </c>
      <c r="K211" s="119" t="s">
        <v>205</v>
      </c>
      <c r="L211" s="122">
        <v>2026.0</v>
      </c>
      <c r="M211" s="119" t="s">
        <v>494</v>
      </c>
      <c r="N211" s="120"/>
      <c r="O211" s="123" t="str">
        <f>IF(ISBLANK(A211), "", IF(AND(LOWER(TRIM(K211))=LOWER(TRIM(PANEL!$L$2)), L211=PANEL!$I$2), MAX($O$4:O210)+1, ""))</f>
        <v/>
      </c>
      <c r="P211" s="101" t="str">
        <f t="shared" si="1"/>
        <v>Q1</v>
      </c>
    </row>
    <row r="212" ht="21.75" customHeight="1">
      <c r="A212" s="109" t="s">
        <v>660</v>
      </c>
      <c r="B212" s="110" t="s">
        <v>657</v>
      </c>
      <c r="C212" s="111" t="s">
        <v>493</v>
      </c>
      <c r="D212" s="111" t="s">
        <v>138</v>
      </c>
      <c r="E212" s="124" t="s">
        <v>139</v>
      </c>
      <c r="F212" s="124" t="s">
        <v>507</v>
      </c>
      <c r="G212" s="124" t="s">
        <v>333</v>
      </c>
      <c r="H212" s="113">
        <v>10000.0</v>
      </c>
      <c r="I212" s="111" t="s">
        <v>261</v>
      </c>
      <c r="J212" s="111" t="s">
        <v>262</v>
      </c>
      <c r="K212" s="111" t="s">
        <v>205</v>
      </c>
      <c r="L212" s="115">
        <v>2026.0</v>
      </c>
      <c r="M212" s="111" t="s">
        <v>494</v>
      </c>
      <c r="N212" s="124"/>
      <c r="O212" s="116" t="str">
        <f>IF(ISBLANK(A212), "", IF(AND(LOWER(TRIM(K212))=LOWER(TRIM(PANEL!$L$2)), L212=PANEL!$I$2), MAX($O$4:O211)+1, ""))</f>
        <v/>
      </c>
      <c r="P212" s="100" t="str">
        <f t="shared" si="1"/>
        <v>Q1</v>
      </c>
    </row>
    <row r="213" ht="21.75" customHeight="1">
      <c r="A213" s="117" t="s">
        <v>661</v>
      </c>
      <c r="B213" s="118" t="s">
        <v>657</v>
      </c>
      <c r="C213" s="119" t="s">
        <v>493</v>
      </c>
      <c r="D213" s="119" t="s">
        <v>138</v>
      </c>
      <c r="E213" s="120" t="s">
        <v>139</v>
      </c>
      <c r="F213" s="120" t="s">
        <v>507</v>
      </c>
      <c r="G213" s="120" t="s">
        <v>662</v>
      </c>
      <c r="H213" s="121">
        <v>12000.0</v>
      </c>
      <c r="I213" s="119" t="s">
        <v>261</v>
      </c>
      <c r="J213" s="119" t="s">
        <v>262</v>
      </c>
      <c r="K213" s="119" t="s">
        <v>205</v>
      </c>
      <c r="L213" s="122">
        <v>2026.0</v>
      </c>
      <c r="M213" s="119" t="s">
        <v>494</v>
      </c>
      <c r="N213" s="120"/>
      <c r="O213" s="123" t="str">
        <f>IF(ISBLANK(A213), "", IF(AND(LOWER(TRIM(K213))=LOWER(TRIM(PANEL!$L$2)), L213=PANEL!$I$2), MAX($O$4:O212)+1, ""))</f>
        <v/>
      </c>
      <c r="P213" s="101" t="str">
        <f t="shared" si="1"/>
        <v>Q1</v>
      </c>
    </row>
    <row r="214" ht="21.75" customHeight="1">
      <c r="A214" s="109" t="s">
        <v>663</v>
      </c>
      <c r="B214" s="110" t="s">
        <v>657</v>
      </c>
      <c r="C214" s="111" t="s">
        <v>493</v>
      </c>
      <c r="D214" s="111" t="s">
        <v>138</v>
      </c>
      <c r="E214" s="124" t="s">
        <v>155</v>
      </c>
      <c r="F214" s="124" t="s">
        <v>161</v>
      </c>
      <c r="G214" s="124" t="s">
        <v>411</v>
      </c>
      <c r="H214" s="113">
        <v>35000.0</v>
      </c>
      <c r="I214" s="111" t="s">
        <v>261</v>
      </c>
      <c r="J214" s="111" t="s">
        <v>262</v>
      </c>
      <c r="K214" s="111" t="s">
        <v>205</v>
      </c>
      <c r="L214" s="115">
        <v>2026.0</v>
      </c>
      <c r="M214" s="111" t="s">
        <v>494</v>
      </c>
      <c r="N214" s="124"/>
      <c r="O214" s="116" t="str">
        <f>IF(ISBLANK(A214), "", IF(AND(LOWER(TRIM(K214))=LOWER(TRIM(PANEL!$L$2)), L214=PANEL!$I$2), MAX($O$4:O213)+1, ""))</f>
        <v/>
      </c>
      <c r="P214" s="100" t="str">
        <f t="shared" si="1"/>
        <v>Q1</v>
      </c>
    </row>
    <row r="215" ht="21.75" customHeight="1">
      <c r="A215" s="117" t="s">
        <v>664</v>
      </c>
      <c r="B215" s="118" t="s">
        <v>657</v>
      </c>
      <c r="C215" s="119" t="s">
        <v>493</v>
      </c>
      <c r="D215" s="119" t="s">
        <v>138</v>
      </c>
      <c r="E215" s="120" t="s">
        <v>155</v>
      </c>
      <c r="F215" s="120" t="s">
        <v>156</v>
      </c>
      <c r="G215" s="120" t="s">
        <v>436</v>
      </c>
      <c r="H215" s="121">
        <v>60000.0</v>
      </c>
      <c r="I215" s="119" t="s">
        <v>261</v>
      </c>
      <c r="J215" s="119" t="s">
        <v>262</v>
      </c>
      <c r="K215" s="119" t="s">
        <v>205</v>
      </c>
      <c r="L215" s="122">
        <v>2026.0</v>
      </c>
      <c r="M215" s="119" t="s">
        <v>494</v>
      </c>
      <c r="N215" s="120"/>
      <c r="O215" s="123" t="str">
        <f>IF(ISBLANK(A215), "", IF(AND(LOWER(TRIM(K215))=LOWER(TRIM(PANEL!$L$2)), L215=PANEL!$I$2), MAX($O$4:O214)+1, ""))</f>
        <v/>
      </c>
      <c r="P215" s="101" t="str">
        <f t="shared" si="1"/>
        <v>Q1</v>
      </c>
    </row>
    <row r="216" ht="21.75" customHeight="1">
      <c r="A216" s="109" t="s">
        <v>665</v>
      </c>
      <c r="B216" s="110" t="s">
        <v>657</v>
      </c>
      <c r="C216" s="111" t="s">
        <v>493</v>
      </c>
      <c r="D216" s="111" t="s">
        <v>138</v>
      </c>
      <c r="E216" s="124" t="s">
        <v>258</v>
      </c>
      <c r="F216" s="124" t="s">
        <v>259</v>
      </c>
      <c r="G216" s="124" t="s">
        <v>477</v>
      </c>
      <c r="H216" s="113">
        <v>40000.0</v>
      </c>
      <c r="I216" s="111" t="s">
        <v>261</v>
      </c>
      <c r="J216" s="111" t="s">
        <v>262</v>
      </c>
      <c r="K216" s="111" t="s">
        <v>205</v>
      </c>
      <c r="L216" s="115">
        <v>2026.0</v>
      </c>
      <c r="M216" s="111" t="s">
        <v>494</v>
      </c>
      <c r="N216" s="124"/>
      <c r="O216" s="116" t="str">
        <f>IF(ISBLANK(A216), "", IF(AND(LOWER(TRIM(K216))=LOWER(TRIM(PANEL!$L$2)), L216=PANEL!$I$2), MAX($O$4:O215)+1, ""))</f>
        <v/>
      </c>
      <c r="P216" s="100" t="str">
        <f t="shared" si="1"/>
        <v>Q1</v>
      </c>
    </row>
    <row r="217" ht="21.75" customHeight="1">
      <c r="A217" s="117" t="s">
        <v>666</v>
      </c>
      <c r="B217" s="118" t="s">
        <v>657</v>
      </c>
      <c r="C217" s="119" t="s">
        <v>493</v>
      </c>
      <c r="D217" s="119" t="s">
        <v>138</v>
      </c>
      <c r="E217" s="120" t="s">
        <v>179</v>
      </c>
      <c r="F217" s="120" t="s">
        <v>499</v>
      </c>
      <c r="G217" s="120" t="s">
        <v>471</v>
      </c>
      <c r="H217" s="121">
        <v>120000.0</v>
      </c>
      <c r="I217" s="119" t="s">
        <v>261</v>
      </c>
      <c r="J217" s="119" t="s">
        <v>262</v>
      </c>
      <c r="K217" s="119" t="s">
        <v>205</v>
      </c>
      <c r="L217" s="122">
        <v>2026.0</v>
      </c>
      <c r="M217" s="119" t="s">
        <v>494</v>
      </c>
      <c r="N217" s="120"/>
      <c r="O217" s="123" t="str">
        <f>IF(ISBLANK(A217), "", IF(AND(LOWER(TRIM(K217))=LOWER(TRIM(PANEL!$L$2)), L217=PANEL!$I$2), MAX($O$4:O216)+1, ""))</f>
        <v/>
      </c>
      <c r="P217" s="101" t="str">
        <f t="shared" si="1"/>
        <v>Q1</v>
      </c>
    </row>
    <row r="218" ht="21.75" customHeight="1">
      <c r="A218" s="109" t="s">
        <v>667</v>
      </c>
      <c r="B218" s="110" t="s">
        <v>657</v>
      </c>
      <c r="C218" s="111" t="s">
        <v>493</v>
      </c>
      <c r="D218" s="111" t="s">
        <v>138</v>
      </c>
      <c r="E218" s="124" t="s">
        <v>48</v>
      </c>
      <c r="F218" s="124" t="s">
        <v>168</v>
      </c>
      <c r="G218" s="124" t="s">
        <v>364</v>
      </c>
      <c r="H218" s="113">
        <v>600000.0</v>
      </c>
      <c r="I218" s="111" t="s">
        <v>261</v>
      </c>
      <c r="J218" s="111" t="s">
        <v>262</v>
      </c>
      <c r="K218" s="111" t="s">
        <v>205</v>
      </c>
      <c r="L218" s="115">
        <v>2026.0</v>
      </c>
      <c r="M218" s="111" t="s">
        <v>494</v>
      </c>
      <c r="N218" s="124"/>
      <c r="O218" s="116" t="str">
        <f>IF(ISBLANK(A218), "", IF(AND(LOWER(TRIM(K218))=LOWER(TRIM(PANEL!$L$2)), L218=PANEL!$I$2), MAX($O$4:O217)+1, ""))</f>
        <v/>
      </c>
      <c r="P218" s="100" t="str">
        <f t="shared" si="1"/>
        <v>Q1</v>
      </c>
    </row>
    <row r="219" ht="21.75" customHeight="1">
      <c r="A219" s="117" t="s">
        <v>668</v>
      </c>
      <c r="B219" s="118" t="s">
        <v>657</v>
      </c>
      <c r="C219" s="119" t="s">
        <v>493</v>
      </c>
      <c r="D219" s="119" t="s">
        <v>138</v>
      </c>
      <c r="E219" s="120" t="s">
        <v>179</v>
      </c>
      <c r="F219" s="120" t="s">
        <v>499</v>
      </c>
      <c r="G219" s="120" t="s">
        <v>515</v>
      </c>
      <c r="H219" s="121">
        <v>110000.0</v>
      </c>
      <c r="I219" s="119" t="s">
        <v>261</v>
      </c>
      <c r="J219" s="119" t="s">
        <v>262</v>
      </c>
      <c r="K219" s="119" t="s">
        <v>205</v>
      </c>
      <c r="L219" s="122">
        <v>2026.0</v>
      </c>
      <c r="M219" s="119" t="s">
        <v>494</v>
      </c>
      <c r="N219" s="120"/>
      <c r="O219" s="123" t="str">
        <f>IF(ISBLANK(A219), "", IF(AND(LOWER(TRIM(K219))=LOWER(TRIM(PANEL!$L$2)), L219=PANEL!$I$2), MAX($O$4:O218)+1, ""))</f>
        <v/>
      </c>
      <c r="P219" s="101" t="str">
        <f t="shared" si="1"/>
        <v>Q1</v>
      </c>
    </row>
    <row r="220" ht="21.75" customHeight="1">
      <c r="A220" s="109" t="s">
        <v>669</v>
      </c>
      <c r="B220" s="110" t="s">
        <v>670</v>
      </c>
      <c r="C220" s="111" t="s">
        <v>671</v>
      </c>
      <c r="D220" s="111" t="s">
        <v>138</v>
      </c>
      <c r="E220" s="124" t="s">
        <v>155</v>
      </c>
      <c r="F220" s="124" t="s">
        <v>140</v>
      </c>
      <c r="G220" s="124" t="s">
        <v>672</v>
      </c>
      <c r="H220" s="113">
        <v>60000.0</v>
      </c>
      <c r="I220" s="111" t="s">
        <v>261</v>
      </c>
      <c r="J220" s="111" t="s">
        <v>262</v>
      </c>
      <c r="K220" s="111" t="s">
        <v>197</v>
      </c>
      <c r="L220" s="115">
        <v>2026.0</v>
      </c>
      <c r="M220" s="111" t="s">
        <v>673</v>
      </c>
      <c r="N220" s="124"/>
      <c r="O220" s="116" t="str">
        <f>IF(ISBLANK(A220), "", IF(AND(LOWER(TRIM(K220))=LOWER(TRIM(PANEL!$L$2)), L220=PANEL!$I$2), MAX($O$4:O219)+1, ""))</f>
        <v/>
      </c>
      <c r="P220" s="100" t="str">
        <f t="shared" si="1"/>
        <v>Q2</v>
      </c>
    </row>
    <row r="221" ht="21.75" customHeight="1">
      <c r="A221" s="117" t="s">
        <v>674</v>
      </c>
      <c r="B221" s="118" t="s">
        <v>670</v>
      </c>
      <c r="C221" s="119" t="s">
        <v>671</v>
      </c>
      <c r="D221" s="119" t="s">
        <v>138</v>
      </c>
      <c r="E221" s="120" t="s">
        <v>258</v>
      </c>
      <c r="F221" s="120" t="s">
        <v>140</v>
      </c>
      <c r="G221" s="120" t="s">
        <v>675</v>
      </c>
      <c r="H221" s="121">
        <v>40000.0</v>
      </c>
      <c r="I221" s="119" t="s">
        <v>261</v>
      </c>
      <c r="J221" s="119" t="s">
        <v>262</v>
      </c>
      <c r="K221" s="119" t="s">
        <v>197</v>
      </c>
      <c r="L221" s="122">
        <v>2026.0</v>
      </c>
      <c r="M221" s="119" t="s">
        <v>673</v>
      </c>
      <c r="N221" s="120"/>
      <c r="O221" s="123" t="str">
        <f>IF(ISBLANK(A221), "", IF(AND(LOWER(TRIM(K221))=LOWER(TRIM(PANEL!$L$2)), L221=PANEL!$I$2), MAX($O$4:O220)+1, ""))</f>
        <v/>
      </c>
      <c r="P221" s="101" t="str">
        <f t="shared" si="1"/>
        <v>Q2</v>
      </c>
    </row>
    <row r="222" ht="21.75" customHeight="1">
      <c r="A222" s="109" t="s">
        <v>676</v>
      </c>
      <c r="B222" s="110" t="s">
        <v>670</v>
      </c>
      <c r="C222" s="111" t="s">
        <v>671</v>
      </c>
      <c r="D222" s="111" t="s">
        <v>138</v>
      </c>
      <c r="E222" s="124" t="s">
        <v>155</v>
      </c>
      <c r="F222" s="124" t="s">
        <v>140</v>
      </c>
      <c r="G222" s="124" t="s">
        <v>677</v>
      </c>
      <c r="H222" s="113">
        <v>35000.0</v>
      </c>
      <c r="I222" s="111" t="s">
        <v>261</v>
      </c>
      <c r="J222" s="111" t="s">
        <v>262</v>
      </c>
      <c r="K222" s="111" t="s">
        <v>197</v>
      </c>
      <c r="L222" s="115">
        <v>2026.0</v>
      </c>
      <c r="M222" s="111" t="s">
        <v>673</v>
      </c>
      <c r="N222" s="124"/>
      <c r="O222" s="116" t="str">
        <f>IF(ISBLANK(A222), "", IF(AND(LOWER(TRIM(K222))=LOWER(TRIM(PANEL!$L$2)), L222=PANEL!$I$2), MAX($O$4:O221)+1, ""))</f>
        <v/>
      </c>
      <c r="P222" s="100" t="str">
        <f t="shared" si="1"/>
        <v>Q2</v>
      </c>
    </row>
    <row r="223" ht="21.75" customHeight="1">
      <c r="A223" s="117" t="s">
        <v>678</v>
      </c>
      <c r="B223" s="118" t="s">
        <v>670</v>
      </c>
      <c r="C223" s="119" t="s">
        <v>671</v>
      </c>
      <c r="D223" s="119" t="s">
        <v>138</v>
      </c>
      <c r="E223" s="120" t="s">
        <v>179</v>
      </c>
      <c r="F223" s="120" t="s">
        <v>140</v>
      </c>
      <c r="G223" s="120" t="s">
        <v>679</v>
      </c>
      <c r="H223" s="121">
        <v>48000.0</v>
      </c>
      <c r="I223" s="119" t="s">
        <v>261</v>
      </c>
      <c r="J223" s="119" t="s">
        <v>262</v>
      </c>
      <c r="K223" s="119" t="s">
        <v>197</v>
      </c>
      <c r="L223" s="122">
        <v>2026.0</v>
      </c>
      <c r="M223" s="119" t="s">
        <v>673</v>
      </c>
      <c r="N223" s="120"/>
      <c r="O223" s="123" t="str">
        <f>IF(ISBLANK(A223), "", IF(AND(LOWER(TRIM(K223))=LOWER(TRIM(PANEL!$L$2)), L223=PANEL!$I$2), MAX($O$4:O222)+1, ""))</f>
        <v/>
      </c>
      <c r="P223" s="101" t="str">
        <f t="shared" si="1"/>
        <v>Q2</v>
      </c>
    </row>
    <row r="224" ht="21.75" customHeight="1">
      <c r="A224" s="109" t="s">
        <v>680</v>
      </c>
      <c r="B224" s="110" t="s">
        <v>670</v>
      </c>
      <c r="C224" s="111" t="s">
        <v>671</v>
      </c>
      <c r="D224" s="111" t="s">
        <v>138</v>
      </c>
      <c r="E224" s="124" t="s">
        <v>173</v>
      </c>
      <c r="F224" s="124" t="s">
        <v>140</v>
      </c>
      <c r="G224" s="124" t="s">
        <v>681</v>
      </c>
      <c r="H224" s="113">
        <v>900000.0</v>
      </c>
      <c r="I224" s="111" t="s">
        <v>261</v>
      </c>
      <c r="J224" s="111" t="s">
        <v>262</v>
      </c>
      <c r="K224" s="111" t="s">
        <v>197</v>
      </c>
      <c r="L224" s="115">
        <v>2026.0</v>
      </c>
      <c r="M224" s="111" t="s">
        <v>673</v>
      </c>
      <c r="N224" s="124"/>
      <c r="O224" s="116" t="str">
        <f>IF(ISBLANK(A224), "", IF(AND(LOWER(TRIM(K224))=LOWER(TRIM(PANEL!$L$2)), L224=PANEL!$I$2), MAX($O$4:O223)+1, ""))</f>
        <v/>
      </c>
      <c r="P224" s="100" t="str">
        <f t="shared" si="1"/>
        <v>Q2</v>
      </c>
    </row>
    <row r="225" ht="21.75" customHeight="1">
      <c r="A225" s="117" t="s">
        <v>682</v>
      </c>
      <c r="B225" s="118" t="s">
        <v>670</v>
      </c>
      <c r="C225" s="119" t="s">
        <v>683</v>
      </c>
      <c r="D225" s="119" t="s">
        <v>191</v>
      </c>
      <c r="E225" s="120" t="s">
        <v>192</v>
      </c>
      <c r="F225" s="120" t="s">
        <v>193</v>
      </c>
      <c r="G225" s="120" t="s">
        <v>194</v>
      </c>
      <c r="H225" s="121">
        <v>1502360.0</v>
      </c>
      <c r="I225" s="119" t="s">
        <v>195</v>
      </c>
      <c r="J225" s="119" t="s">
        <v>291</v>
      </c>
      <c r="K225" s="119" t="s">
        <v>197</v>
      </c>
      <c r="L225" s="122">
        <v>2026.0</v>
      </c>
      <c r="M225" s="119" t="s">
        <v>159</v>
      </c>
      <c r="N225" s="120"/>
      <c r="O225" s="123" t="str">
        <f>IF(ISBLANK(A225), "", IF(AND(LOWER(TRIM(K225))=LOWER(TRIM(PANEL!$L$2)), L225=PANEL!$I$2), MAX($O$4:O224)+1, ""))</f>
        <v/>
      </c>
      <c r="P225" s="101" t="str">
        <f t="shared" si="1"/>
        <v>Q2</v>
      </c>
    </row>
    <row r="226" ht="21.75" customHeight="1">
      <c r="A226" s="109" t="s">
        <v>684</v>
      </c>
      <c r="B226" s="110" t="s">
        <v>685</v>
      </c>
      <c r="C226" s="111" t="s">
        <v>671</v>
      </c>
      <c r="D226" s="111" t="s">
        <v>138</v>
      </c>
      <c r="E226" s="124" t="s">
        <v>139</v>
      </c>
      <c r="F226" s="124" t="s">
        <v>140</v>
      </c>
      <c r="G226" s="124" t="s">
        <v>333</v>
      </c>
      <c r="H226" s="113">
        <v>10000.0</v>
      </c>
      <c r="I226" s="111" t="s">
        <v>261</v>
      </c>
      <c r="J226" s="111" t="s">
        <v>262</v>
      </c>
      <c r="K226" s="111" t="s">
        <v>197</v>
      </c>
      <c r="L226" s="115">
        <v>2026.0</v>
      </c>
      <c r="M226" s="111" t="s">
        <v>673</v>
      </c>
      <c r="N226" s="124"/>
      <c r="O226" s="116" t="str">
        <f>IF(ISBLANK(A226), "", IF(AND(LOWER(TRIM(K226))=LOWER(TRIM(PANEL!$L$2)), L226=PANEL!$I$2), MAX($O$4:O225)+1, ""))</f>
        <v/>
      </c>
      <c r="P226" s="100" t="str">
        <f t="shared" si="1"/>
        <v>Q1</v>
      </c>
    </row>
    <row r="227" ht="21.75" customHeight="1">
      <c r="A227" s="117" t="s">
        <v>686</v>
      </c>
      <c r="B227" s="118" t="s">
        <v>685</v>
      </c>
      <c r="C227" s="119" t="s">
        <v>671</v>
      </c>
      <c r="D227" s="119" t="s">
        <v>138</v>
      </c>
      <c r="E227" s="120" t="s">
        <v>155</v>
      </c>
      <c r="F227" s="120" t="s">
        <v>140</v>
      </c>
      <c r="G227" s="120" t="s">
        <v>687</v>
      </c>
      <c r="H227" s="121">
        <v>20000.0</v>
      </c>
      <c r="I227" s="119" t="s">
        <v>261</v>
      </c>
      <c r="J227" s="119" t="s">
        <v>262</v>
      </c>
      <c r="K227" s="119" t="s">
        <v>197</v>
      </c>
      <c r="L227" s="122">
        <v>2026.0</v>
      </c>
      <c r="M227" s="119" t="s">
        <v>673</v>
      </c>
      <c r="N227" s="120"/>
      <c r="O227" s="123" t="str">
        <f>IF(ISBLANK(A227), "", IF(AND(LOWER(TRIM(K227))=LOWER(TRIM(PANEL!$L$2)), L227=PANEL!$I$2), MAX($O$4:O226)+1, ""))</f>
        <v/>
      </c>
      <c r="P227" s="101" t="str">
        <f t="shared" si="1"/>
        <v>Q1</v>
      </c>
    </row>
    <row r="228" ht="21.75" customHeight="1">
      <c r="A228" s="109" t="s">
        <v>688</v>
      </c>
      <c r="B228" s="110" t="s">
        <v>685</v>
      </c>
      <c r="C228" s="111" t="s">
        <v>671</v>
      </c>
      <c r="D228" s="111" t="s">
        <v>138</v>
      </c>
      <c r="E228" s="124" t="s">
        <v>179</v>
      </c>
      <c r="F228" s="124" t="s">
        <v>140</v>
      </c>
      <c r="G228" s="124" t="s">
        <v>471</v>
      </c>
      <c r="H228" s="113">
        <v>62128.0</v>
      </c>
      <c r="I228" s="111" t="s">
        <v>261</v>
      </c>
      <c r="J228" s="111" t="s">
        <v>262</v>
      </c>
      <c r="K228" s="111" t="s">
        <v>197</v>
      </c>
      <c r="L228" s="115">
        <v>2026.0</v>
      </c>
      <c r="M228" s="111" t="s">
        <v>673</v>
      </c>
      <c r="N228" s="124"/>
      <c r="O228" s="116" t="str">
        <f>IF(ISBLANK(A228), "", IF(AND(LOWER(TRIM(K228))=LOWER(TRIM(PANEL!$L$2)), L228=PANEL!$I$2), MAX($O$4:O227)+1, ""))</f>
        <v/>
      </c>
      <c r="P228" s="100" t="str">
        <f t="shared" si="1"/>
        <v>Q1</v>
      </c>
    </row>
    <row r="229" ht="21.75" customHeight="1">
      <c r="A229" s="117" t="s">
        <v>689</v>
      </c>
      <c r="B229" s="118" t="s">
        <v>685</v>
      </c>
      <c r="C229" s="119" t="s">
        <v>671</v>
      </c>
      <c r="D229" s="119" t="s">
        <v>138</v>
      </c>
      <c r="E229" s="120" t="s">
        <v>179</v>
      </c>
      <c r="F229" s="120" t="s">
        <v>140</v>
      </c>
      <c r="G229" s="120" t="s">
        <v>467</v>
      </c>
      <c r="H229" s="121">
        <v>60000.0</v>
      </c>
      <c r="I229" s="119" t="s">
        <v>261</v>
      </c>
      <c r="J229" s="119" t="s">
        <v>262</v>
      </c>
      <c r="K229" s="119" t="s">
        <v>197</v>
      </c>
      <c r="L229" s="122">
        <v>2026.0</v>
      </c>
      <c r="M229" s="119" t="s">
        <v>673</v>
      </c>
      <c r="N229" s="120"/>
      <c r="O229" s="123" t="str">
        <f>IF(ISBLANK(A229), "", IF(AND(LOWER(TRIM(K229))=LOWER(TRIM(PANEL!$L$2)), L229=PANEL!$I$2), MAX($O$4:O228)+1, ""))</f>
        <v/>
      </c>
      <c r="P229" s="101" t="str">
        <f t="shared" si="1"/>
        <v>Q1</v>
      </c>
    </row>
    <row r="230" ht="21.75" customHeight="1">
      <c r="A230" s="109" t="s">
        <v>690</v>
      </c>
      <c r="B230" s="110" t="s">
        <v>685</v>
      </c>
      <c r="C230" s="111" t="s">
        <v>671</v>
      </c>
      <c r="D230" s="111" t="s">
        <v>138</v>
      </c>
      <c r="E230" s="124" t="s">
        <v>179</v>
      </c>
      <c r="F230" s="124" t="s">
        <v>140</v>
      </c>
      <c r="G230" s="124" t="s">
        <v>691</v>
      </c>
      <c r="H230" s="113">
        <v>124000.0</v>
      </c>
      <c r="I230" s="111" t="s">
        <v>261</v>
      </c>
      <c r="J230" s="111" t="s">
        <v>262</v>
      </c>
      <c r="K230" s="111" t="s">
        <v>197</v>
      </c>
      <c r="L230" s="115">
        <v>2026.0</v>
      </c>
      <c r="M230" s="111" t="s">
        <v>673</v>
      </c>
      <c r="N230" s="124"/>
      <c r="O230" s="116" t="str">
        <f>IF(ISBLANK(A230), "", IF(AND(LOWER(TRIM(K230))=LOWER(TRIM(PANEL!$L$2)), L230=PANEL!$I$2), MAX($O$4:O229)+1, ""))</f>
        <v/>
      </c>
      <c r="P230" s="100" t="str">
        <f t="shared" si="1"/>
        <v>Q1</v>
      </c>
    </row>
    <row r="231" ht="21.75" customHeight="1">
      <c r="A231" s="117" t="s">
        <v>692</v>
      </c>
      <c r="B231" s="118" t="s">
        <v>685</v>
      </c>
      <c r="C231" s="119" t="s">
        <v>693</v>
      </c>
      <c r="D231" s="119" t="s">
        <v>191</v>
      </c>
      <c r="E231" s="120" t="s">
        <v>192</v>
      </c>
      <c r="F231" s="120" t="s">
        <v>193</v>
      </c>
      <c r="G231" s="120" t="s">
        <v>194</v>
      </c>
      <c r="H231" s="121">
        <v>2339862.0</v>
      </c>
      <c r="I231" s="119" t="s">
        <v>195</v>
      </c>
      <c r="J231" s="119" t="s">
        <v>291</v>
      </c>
      <c r="K231" s="119" t="s">
        <v>197</v>
      </c>
      <c r="L231" s="122">
        <v>2026.0</v>
      </c>
      <c r="M231" s="119" t="s">
        <v>159</v>
      </c>
      <c r="N231" s="120"/>
      <c r="O231" s="123" t="str">
        <f>IF(ISBLANK(A231), "", IF(AND(LOWER(TRIM(K231))=LOWER(TRIM(PANEL!$L$2)), L231=PANEL!$I$2), MAX($O$4:O230)+1, ""))</f>
        <v/>
      </c>
      <c r="P231" s="101" t="str">
        <f t="shared" si="1"/>
        <v>Q1</v>
      </c>
    </row>
    <row r="232" ht="21.75" customHeight="1">
      <c r="A232" s="109"/>
      <c r="B232" s="110"/>
      <c r="C232" s="111"/>
      <c r="D232" s="111"/>
      <c r="E232" s="124"/>
      <c r="F232" s="124"/>
      <c r="G232" s="124"/>
      <c r="H232" s="113"/>
      <c r="I232" s="111"/>
      <c r="J232" s="111"/>
      <c r="K232" s="111"/>
      <c r="L232" s="115"/>
      <c r="M232" s="111"/>
      <c r="N232" s="124"/>
      <c r="O232" s="116" t="str">
        <f>IF(ISBLANK(A232), "", IF(AND(LOWER(TRIM(K232))=LOWER(TRIM(PANEL!$L$2)), L232=PANEL!$I$2), MAX($O$4:O231)+1, ""))</f>
        <v/>
      </c>
      <c r="P232" s="100" t="str">
        <f t="shared" si="1"/>
        <v/>
      </c>
    </row>
    <row r="233" ht="21.75" customHeight="1">
      <c r="A233" s="117"/>
      <c r="B233" s="118"/>
      <c r="C233" s="119"/>
      <c r="D233" s="119"/>
      <c r="E233" s="120"/>
      <c r="F233" s="120"/>
      <c r="G233" s="120"/>
      <c r="H233" s="121"/>
      <c r="I233" s="119"/>
      <c r="J233" s="119"/>
      <c r="K233" s="119"/>
      <c r="L233" s="122"/>
      <c r="M233" s="119"/>
      <c r="N233" s="120"/>
      <c r="O233" s="123" t="str">
        <f>IF(ISBLANK(A233), "", IF(AND(LOWER(TRIM(K233))=LOWER(TRIM(PANEL!$L$2)), L233=PANEL!$I$2), MAX($O$4:O232)+1, ""))</f>
        <v/>
      </c>
      <c r="P233" s="101" t="str">
        <f t="shared" si="1"/>
        <v/>
      </c>
    </row>
    <row r="234" ht="21.75" customHeight="1">
      <c r="A234" s="109"/>
      <c r="B234" s="110"/>
      <c r="C234" s="111"/>
      <c r="D234" s="111"/>
      <c r="E234" s="124"/>
      <c r="F234" s="124"/>
      <c r="G234" s="124"/>
      <c r="H234" s="113"/>
      <c r="I234" s="111"/>
      <c r="J234" s="111"/>
      <c r="K234" s="111"/>
      <c r="L234" s="115"/>
      <c r="M234" s="111"/>
      <c r="N234" s="124"/>
      <c r="O234" s="116" t="str">
        <f>IF(ISBLANK(A234), "", IF(AND(LOWER(TRIM(K234))=LOWER(TRIM(PANEL!$L$2)), L234=PANEL!$I$2), MAX($O$4:O233)+1, ""))</f>
        <v/>
      </c>
      <c r="P234" s="100" t="str">
        <f t="shared" si="1"/>
        <v/>
      </c>
    </row>
    <row r="235" ht="21.75" customHeight="1">
      <c r="A235" s="117"/>
      <c r="B235" s="118"/>
      <c r="C235" s="119"/>
      <c r="D235" s="119"/>
      <c r="E235" s="120"/>
      <c r="F235" s="120"/>
      <c r="G235" s="120"/>
      <c r="H235" s="121"/>
      <c r="I235" s="119"/>
      <c r="J235" s="119"/>
      <c r="K235" s="119"/>
      <c r="L235" s="122"/>
      <c r="M235" s="119"/>
      <c r="N235" s="120"/>
      <c r="O235" s="123" t="str">
        <f>IF(ISBLANK(A235), "", IF(AND(LOWER(TRIM(K235))=LOWER(TRIM(PANEL!$L$2)), L235=PANEL!$I$2), MAX($O$4:O234)+1, ""))</f>
        <v/>
      </c>
      <c r="P235" s="101" t="str">
        <f t="shared" si="1"/>
        <v/>
      </c>
    </row>
    <row r="236" ht="21.75" customHeight="1">
      <c r="A236" s="109"/>
      <c r="B236" s="110"/>
      <c r="C236" s="111"/>
      <c r="D236" s="111"/>
      <c r="E236" s="124"/>
      <c r="F236" s="124"/>
      <c r="G236" s="124"/>
      <c r="H236" s="113"/>
      <c r="I236" s="111"/>
      <c r="J236" s="111"/>
      <c r="K236" s="111"/>
      <c r="L236" s="115"/>
      <c r="M236" s="111"/>
      <c r="N236" s="124"/>
      <c r="O236" s="116" t="str">
        <f>IF(ISBLANK(A236), "", IF(AND(LOWER(TRIM(K236))=LOWER(TRIM(PANEL!$L$2)), L236=PANEL!$I$2), MAX($O$4:O235)+1, ""))</f>
        <v/>
      </c>
      <c r="P236" s="100" t="str">
        <f t="shared" si="1"/>
        <v/>
      </c>
    </row>
    <row r="237" ht="21.75" customHeight="1">
      <c r="A237" s="117"/>
      <c r="B237" s="118"/>
      <c r="C237" s="119"/>
      <c r="D237" s="119"/>
      <c r="E237" s="120"/>
      <c r="F237" s="120"/>
      <c r="G237" s="120"/>
      <c r="H237" s="121"/>
      <c r="I237" s="119"/>
      <c r="J237" s="119"/>
      <c r="K237" s="119"/>
      <c r="L237" s="122"/>
      <c r="M237" s="119"/>
      <c r="N237" s="120"/>
      <c r="O237" s="123" t="str">
        <f>IF(ISBLANK(A237), "", IF(AND(LOWER(TRIM(K237))=LOWER(TRIM(PANEL!$L$2)), L237=PANEL!$I$2), MAX($O$4:O236)+1, ""))</f>
        <v/>
      </c>
      <c r="P237" s="101" t="str">
        <f t="shared" si="1"/>
        <v/>
      </c>
    </row>
    <row r="238" ht="21.75" customHeight="1">
      <c r="A238" s="109"/>
      <c r="B238" s="110"/>
      <c r="C238" s="111"/>
      <c r="D238" s="111"/>
      <c r="E238" s="124"/>
      <c r="F238" s="124"/>
      <c r="G238" s="124"/>
      <c r="H238" s="113"/>
      <c r="I238" s="111"/>
      <c r="J238" s="111"/>
      <c r="K238" s="111"/>
      <c r="L238" s="115"/>
      <c r="M238" s="111"/>
      <c r="N238" s="124"/>
      <c r="O238" s="116" t="str">
        <f>IF(ISBLANK(A238), "", IF(AND(LOWER(TRIM(K238))=LOWER(TRIM(PANEL!$L$2)), L238=PANEL!$I$2), MAX($O$4:O237)+1, ""))</f>
        <v/>
      </c>
      <c r="P238" s="100" t="str">
        <f t="shared" si="1"/>
        <v/>
      </c>
    </row>
    <row r="239" ht="21.75" customHeight="1">
      <c r="A239" s="117"/>
      <c r="B239" s="118"/>
      <c r="C239" s="119"/>
      <c r="D239" s="119"/>
      <c r="E239" s="120"/>
      <c r="F239" s="120"/>
      <c r="G239" s="120"/>
      <c r="H239" s="121"/>
      <c r="I239" s="119"/>
      <c r="J239" s="119"/>
      <c r="K239" s="119"/>
      <c r="L239" s="122"/>
      <c r="M239" s="119"/>
      <c r="N239" s="120"/>
      <c r="O239" s="123" t="str">
        <f>IF(ISBLANK(A239), "", IF(AND(LOWER(TRIM(K239))=LOWER(TRIM(PANEL!$L$2)), L239=PANEL!$I$2), MAX($O$4:O238)+1, ""))</f>
        <v/>
      </c>
      <c r="P239" s="101" t="str">
        <f t="shared" si="1"/>
        <v/>
      </c>
    </row>
    <row r="240" ht="21.75" customHeight="1">
      <c r="A240" s="109"/>
      <c r="B240" s="110"/>
      <c r="C240" s="111"/>
      <c r="D240" s="111"/>
      <c r="E240" s="124"/>
      <c r="F240" s="124"/>
      <c r="G240" s="124"/>
      <c r="H240" s="113"/>
      <c r="I240" s="111"/>
      <c r="J240" s="111"/>
      <c r="K240" s="111"/>
      <c r="L240" s="115"/>
      <c r="M240" s="111"/>
      <c r="N240" s="124"/>
      <c r="O240" s="116" t="str">
        <f>IF(ISBLANK(A240), "", IF(AND(LOWER(TRIM(K240))=LOWER(TRIM(PANEL!$L$2)), L240=PANEL!$I$2), MAX($O$4:O239)+1, ""))</f>
        <v/>
      </c>
      <c r="P240" s="100" t="str">
        <f t="shared" si="1"/>
        <v/>
      </c>
    </row>
    <row r="241" ht="21.75" customHeight="1">
      <c r="A241" s="117"/>
      <c r="B241" s="118"/>
      <c r="C241" s="119"/>
      <c r="D241" s="119"/>
      <c r="E241" s="120"/>
      <c r="F241" s="120"/>
      <c r="G241" s="120"/>
      <c r="H241" s="121"/>
      <c r="I241" s="119"/>
      <c r="J241" s="119"/>
      <c r="K241" s="119"/>
      <c r="L241" s="122"/>
      <c r="M241" s="119"/>
      <c r="N241" s="120"/>
      <c r="O241" s="123" t="str">
        <f>IF(ISBLANK(A241), "", IF(AND(LOWER(TRIM(K241))=LOWER(TRIM(PANEL!$L$2)), L241=PANEL!$I$2), MAX($O$4:O240)+1, ""))</f>
        <v/>
      </c>
      <c r="P241" s="101" t="str">
        <f t="shared" si="1"/>
        <v/>
      </c>
    </row>
    <row r="242" ht="21.75" customHeight="1">
      <c r="A242" s="109"/>
      <c r="B242" s="110"/>
      <c r="C242" s="111"/>
      <c r="D242" s="111"/>
      <c r="E242" s="124"/>
      <c r="F242" s="124"/>
      <c r="G242" s="124"/>
      <c r="H242" s="113"/>
      <c r="I242" s="111"/>
      <c r="J242" s="111"/>
      <c r="K242" s="111"/>
      <c r="L242" s="115"/>
      <c r="M242" s="111"/>
      <c r="N242" s="124"/>
      <c r="O242" s="116" t="str">
        <f>IF(ISBLANK(A242), "", IF(AND(LOWER(TRIM(K242))=LOWER(TRIM(PANEL!$L$2)), L242=PANEL!$I$2), MAX($O$4:O241)+1, ""))</f>
        <v/>
      </c>
      <c r="P242" s="100" t="str">
        <f t="shared" si="1"/>
        <v/>
      </c>
    </row>
    <row r="243" ht="21.75" customHeight="1">
      <c r="A243" s="117"/>
      <c r="B243" s="118"/>
      <c r="C243" s="119"/>
      <c r="D243" s="119"/>
      <c r="E243" s="120"/>
      <c r="F243" s="120"/>
      <c r="G243" s="120"/>
      <c r="H243" s="121"/>
      <c r="I243" s="119"/>
      <c r="J243" s="119"/>
      <c r="K243" s="119"/>
      <c r="L243" s="122"/>
      <c r="M243" s="119"/>
      <c r="N243" s="120"/>
      <c r="O243" s="123" t="str">
        <f>IF(ISBLANK(A243), "", IF(AND(LOWER(TRIM(K243))=LOWER(TRIM(PANEL!$L$2)), L243=PANEL!$I$2), MAX($O$4:O242)+1, ""))</f>
        <v/>
      </c>
      <c r="P243" s="101" t="str">
        <f t="shared" si="1"/>
        <v/>
      </c>
    </row>
    <row r="244" ht="21.75" customHeight="1">
      <c r="A244" s="109"/>
      <c r="B244" s="110"/>
      <c r="C244" s="111"/>
      <c r="D244" s="111"/>
      <c r="E244" s="124"/>
      <c r="F244" s="124"/>
      <c r="G244" s="124"/>
      <c r="H244" s="113"/>
      <c r="I244" s="111"/>
      <c r="J244" s="111"/>
      <c r="K244" s="111"/>
      <c r="L244" s="115"/>
      <c r="M244" s="111"/>
      <c r="N244" s="124"/>
      <c r="O244" s="116" t="str">
        <f>IF(ISBLANK(A244), "", IF(AND(LOWER(TRIM(K244))=LOWER(TRIM(PANEL!$L$2)), L244=PANEL!$I$2), MAX($O$4:O243)+1, ""))</f>
        <v/>
      </c>
      <c r="P244" s="100" t="str">
        <f t="shared" si="1"/>
        <v/>
      </c>
    </row>
    <row r="245" ht="21.75" customHeight="1">
      <c r="A245" s="127"/>
      <c r="B245" s="128"/>
      <c r="C245" s="73"/>
      <c r="D245" s="73"/>
      <c r="E245" s="129"/>
      <c r="F245" s="129"/>
      <c r="G245" s="129"/>
      <c r="H245" s="52"/>
      <c r="I245" s="73"/>
      <c r="J245" s="73"/>
      <c r="K245" s="73"/>
      <c r="L245" s="130"/>
      <c r="M245" s="73"/>
      <c r="N245" s="129"/>
      <c r="O245" s="131" t="str">
        <f>IF(ISBLANK(A245), "", IF(AND(LOWER(TRIM(K245))=LOWER(TRIM(PANEL!$L$2)), L245=PANEL!$I$2), MAX($O$4:O244)+1, ""))</f>
        <v/>
      </c>
      <c r="P245" s="101" t="str">
        <f t="shared" si="1"/>
        <v/>
      </c>
    </row>
    <row r="246" ht="21.75" customHeight="1">
      <c r="A246" s="132"/>
      <c r="B246" s="133"/>
      <c r="C246" s="83"/>
      <c r="D246" s="83"/>
      <c r="E246" s="134"/>
      <c r="F246" s="134"/>
      <c r="G246" s="134"/>
      <c r="H246" s="135"/>
      <c r="I246" s="83"/>
      <c r="J246" s="83"/>
      <c r="K246" s="83"/>
      <c r="L246" s="136"/>
      <c r="M246" s="83"/>
      <c r="N246" s="134"/>
      <c r="O246" s="137" t="str">
        <f>IF(ISBLANK(A246), "", IF(AND(LOWER(TRIM(K246))=LOWER(TRIM(PANEL!$L$2)), L246=PANEL!$I$2), MAX($O$4:O245)+1, ""))</f>
        <v/>
      </c>
      <c r="P246" s="138" t="str">
        <f t="shared" si="1"/>
        <v/>
      </c>
    </row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P1"/>
    <mergeCell ref="A2:P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4" width="13.0"/>
    <col customWidth="1" min="5" max="5" width="29.0"/>
    <col customWidth="1" min="6" max="6" width="13.0"/>
    <col customWidth="1" min="7" max="7" width="25.0"/>
    <col customWidth="1" min="8" max="8" width="26.0"/>
    <col customWidth="1" min="9" max="9" width="25.0"/>
    <col customWidth="1" min="10" max="10" width="24.0"/>
    <col customWidth="1" min="11" max="11" width="46.0"/>
    <col customWidth="1" min="12" max="12" width="25.0"/>
    <col customWidth="1" min="13" max="13" width="28.0"/>
    <col customWidth="1" min="14" max="14" width="26.0"/>
    <col customWidth="1" min="15" max="15" width="22.0"/>
    <col customWidth="1" min="16" max="17" width="24.0"/>
    <col customWidth="1" min="18" max="18" width="13.0"/>
    <col customWidth="1" min="19" max="19" width="39.0"/>
    <col customWidth="1" min="20" max="20" width="32.0"/>
  </cols>
  <sheetData>
    <row r="1" ht="39.75" customHeight="1">
      <c r="A1" s="2" t="s">
        <v>694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ht="24.0" customHeight="1">
      <c r="A2" s="9" t="s">
        <v>695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 ht="9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</row>
    <row r="4" ht="27.75" customHeight="1">
      <c r="A4" s="139" t="s">
        <v>696</v>
      </c>
      <c r="B4" s="140" t="s">
        <v>130</v>
      </c>
      <c r="C4" s="140" t="s">
        <v>131</v>
      </c>
      <c r="D4" s="140" t="s">
        <v>135</v>
      </c>
      <c r="E4" s="140" t="s">
        <v>697</v>
      </c>
      <c r="F4" s="140" t="s">
        <v>698</v>
      </c>
      <c r="G4" s="140" t="s">
        <v>699</v>
      </c>
      <c r="H4" s="140" t="s">
        <v>700</v>
      </c>
      <c r="I4" s="140" t="s">
        <v>701</v>
      </c>
      <c r="J4" s="140" t="s">
        <v>702</v>
      </c>
      <c r="K4" s="140" t="s">
        <v>703</v>
      </c>
      <c r="L4" s="140" t="s">
        <v>704</v>
      </c>
      <c r="M4" s="140" t="s">
        <v>705</v>
      </c>
      <c r="N4" s="140" t="s">
        <v>706</v>
      </c>
      <c r="O4" s="140" t="s">
        <v>707</v>
      </c>
      <c r="P4" s="140" t="s">
        <v>708</v>
      </c>
      <c r="Q4" s="140" t="s">
        <v>709</v>
      </c>
      <c r="R4" s="140" t="s">
        <v>95</v>
      </c>
      <c r="S4" s="140" t="s">
        <v>710</v>
      </c>
      <c r="T4" s="141" t="s">
        <v>711</v>
      </c>
    </row>
    <row r="5" ht="21.75" customHeight="1">
      <c r="A5" s="142" t="s">
        <v>712</v>
      </c>
      <c r="B5" s="68" t="s">
        <v>175</v>
      </c>
      <c r="C5" s="143">
        <v>2026.0</v>
      </c>
      <c r="D5" s="68" t="s">
        <v>200</v>
      </c>
      <c r="E5" s="68" t="s">
        <v>713</v>
      </c>
      <c r="F5" s="143">
        <v>15.0</v>
      </c>
      <c r="G5" s="41">
        <v>1627897.0</v>
      </c>
      <c r="H5" s="41">
        <v>572448.0</v>
      </c>
      <c r="I5" s="41">
        <v>95955.0</v>
      </c>
      <c r="J5" s="43">
        <v>2296300.0</v>
      </c>
      <c r="K5" s="41">
        <v>88014.0</v>
      </c>
      <c r="L5" s="41">
        <v>88014.0</v>
      </c>
      <c r="M5" s="41">
        <v>236121.0</v>
      </c>
      <c r="N5" s="41">
        <v>243873.0</v>
      </c>
      <c r="O5" s="43">
        <v>1640278.0</v>
      </c>
      <c r="P5" s="68" t="s">
        <v>291</v>
      </c>
      <c r="Q5" s="144">
        <v>46295.0</v>
      </c>
      <c r="R5" s="99" t="s">
        <v>714</v>
      </c>
      <c r="S5" s="145" t="s">
        <v>715</v>
      </c>
      <c r="T5" s="146" t="s">
        <v>716</v>
      </c>
    </row>
    <row r="6" ht="21.75" customHeight="1">
      <c r="A6" s="127" t="s">
        <v>717</v>
      </c>
      <c r="B6" s="73" t="s">
        <v>175</v>
      </c>
      <c r="C6" s="130">
        <v>2026.0</v>
      </c>
      <c r="D6" s="73" t="s">
        <v>189</v>
      </c>
      <c r="E6" s="73" t="s">
        <v>718</v>
      </c>
      <c r="F6" s="130">
        <v>15.0</v>
      </c>
      <c r="G6" s="49">
        <v>1878342.0</v>
      </c>
      <c r="H6" s="49">
        <v>324238.0</v>
      </c>
      <c r="I6" s="49">
        <v>95956.0</v>
      </c>
      <c r="J6" s="52">
        <v>2298536.0</v>
      </c>
      <c r="K6" s="49">
        <v>88154.0</v>
      </c>
      <c r="L6" s="49">
        <v>88154.0</v>
      </c>
      <c r="M6" s="49">
        <v>236121.0</v>
      </c>
      <c r="N6" s="49">
        <v>183380.0</v>
      </c>
      <c r="O6" s="52">
        <v>1702727.0</v>
      </c>
      <c r="P6" s="73" t="s">
        <v>291</v>
      </c>
      <c r="Q6" s="128" t="s">
        <v>319</v>
      </c>
      <c r="R6" s="99" t="s">
        <v>714</v>
      </c>
      <c r="S6" s="129" t="s">
        <v>719</v>
      </c>
      <c r="T6" s="147" t="s">
        <v>254</v>
      </c>
    </row>
    <row r="7" ht="21.75" customHeight="1">
      <c r="A7" s="142" t="s">
        <v>720</v>
      </c>
      <c r="B7" s="68" t="s">
        <v>247</v>
      </c>
      <c r="C7" s="143">
        <v>2026.0</v>
      </c>
      <c r="D7" s="68" t="s">
        <v>200</v>
      </c>
      <c r="E7" s="68" t="s">
        <v>721</v>
      </c>
      <c r="F7" s="143">
        <v>15.0</v>
      </c>
      <c r="G7" s="41">
        <v>1878342.0</v>
      </c>
      <c r="H7" s="41">
        <v>420000.0</v>
      </c>
      <c r="I7" s="41">
        <v>402384.0</v>
      </c>
      <c r="J7" s="43">
        <v>2700726.0</v>
      </c>
      <c r="K7" s="41">
        <v>103935.0</v>
      </c>
      <c r="L7" s="41">
        <v>103935.0</v>
      </c>
      <c r="M7" s="41">
        <v>236121.0</v>
      </c>
      <c r="N7" s="41">
        <v>183380.0</v>
      </c>
      <c r="O7" s="43">
        <v>2073355.0</v>
      </c>
      <c r="P7" s="68" t="s">
        <v>291</v>
      </c>
      <c r="Q7" s="144" t="s">
        <v>395</v>
      </c>
      <c r="R7" s="99" t="s">
        <v>714</v>
      </c>
      <c r="S7" s="145" t="s">
        <v>722</v>
      </c>
      <c r="T7" s="146" t="s">
        <v>251</v>
      </c>
    </row>
    <row r="8" ht="21.75" customHeight="1">
      <c r="A8" s="127" t="s">
        <v>723</v>
      </c>
      <c r="B8" s="73" t="s">
        <v>247</v>
      </c>
      <c r="C8" s="130">
        <v>2026.0</v>
      </c>
      <c r="D8" s="73" t="s">
        <v>189</v>
      </c>
      <c r="E8" s="73" t="s">
        <v>724</v>
      </c>
      <c r="F8" s="130">
        <v>15.0</v>
      </c>
      <c r="G8" s="49">
        <v>1878342.0</v>
      </c>
      <c r="H8" s="49">
        <v>220000.0</v>
      </c>
      <c r="I8" s="49">
        <v>197958.0</v>
      </c>
      <c r="J8" s="52">
        <v>2296300.0</v>
      </c>
      <c r="K8" s="49">
        <v>88037.0</v>
      </c>
      <c r="L8" s="49">
        <v>88037.0</v>
      </c>
      <c r="M8" s="49">
        <v>236121.0</v>
      </c>
      <c r="N8" s="49">
        <v>222067.0</v>
      </c>
      <c r="O8" s="52">
        <v>1662038.0</v>
      </c>
      <c r="P8" s="73" t="s">
        <v>291</v>
      </c>
      <c r="Q8" s="128" t="s">
        <v>469</v>
      </c>
      <c r="R8" s="99" t="s">
        <v>714</v>
      </c>
      <c r="S8" s="129" t="s">
        <v>725</v>
      </c>
      <c r="T8" s="147" t="s">
        <v>246</v>
      </c>
    </row>
    <row r="9" ht="21.75" customHeight="1">
      <c r="A9" s="142" t="s">
        <v>726</v>
      </c>
      <c r="B9" s="68" t="s">
        <v>240</v>
      </c>
      <c r="C9" s="143">
        <v>2026.0</v>
      </c>
      <c r="D9" s="68" t="s">
        <v>200</v>
      </c>
      <c r="E9" s="68" t="s">
        <v>727</v>
      </c>
      <c r="F9" s="143">
        <v>15.0</v>
      </c>
      <c r="G9" s="41">
        <v>1878342.0</v>
      </c>
      <c r="H9" s="41">
        <v>120000.0</v>
      </c>
      <c r="I9" s="41">
        <v>107576.0</v>
      </c>
      <c r="J9" s="43">
        <v>2105918.0</v>
      </c>
      <c r="K9" s="41">
        <v>80143.0</v>
      </c>
      <c r="L9" s="41">
        <v>80143.0</v>
      </c>
      <c r="M9" s="41">
        <v>236121.0</v>
      </c>
      <c r="N9" s="41">
        <v>211709.0</v>
      </c>
      <c r="O9" s="43">
        <v>1497802.0</v>
      </c>
      <c r="P9" s="68" t="s">
        <v>291</v>
      </c>
      <c r="Q9" s="144" t="s">
        <v>490</v>
      </c>
      <c r="R9" s="99" t="s">
        <v>714</v>
      </c>
      <c r="S9" s="145" t="s">
        <v>728</v>
      </c>
      <c r="T9" s="146" t="s">
        <v>243</v>
      </c>
    </row>
    <row r="10" ht="21.75" customHeight="1">
      <c r="A10" s="127" t="s">
        <v>729</v>
      </c>
      <c r="B10" s="73" t="s">
        <v>240</v>
      </c>
      <c r="C10" s="130">
        <v>2026.0</v>
      </c>
      <c r="D10" s="73" t="s">
        <v>189</v>
      </c>
      <c r="E10" s="73" t="s">
        <v>730</v>
      </c>
      <c r="F10" s="130">
        <v>15.0</v>
      </c>
      <c r="G10" s="49">
        <v>1878342.0</v>
      </c>
      <c r="H10" s="49">
        <v>210000.0</v>
      </c>
      <c r="I10" s="49">
        <v>193461.0</v>
      </c>
      <c r="J10" s="52">
        <v>2281803.0</v>
      </c>
      <c r="K10" s="49">
        <v>87533.0</v>
      </c>
      <c r="L10" s="49">
        <v>87533.0</v>
      </c>
      <c r="M10" s="49">
        <v>236121.0</v>
      </c>
      <c r="N10" s="49">
        <v>196227.0</v>
      </c>
      <c r="O10" s="52">
        <v>1674389.0</v>
      </c>
      <c r="P10" s="73" t="s">
        <v>291</v>
      </c>
      <c r="Q10" s="128" t="s">
        <v>503</v>
      </c>
      <c r="R10" s="99" t="s">
        <v>714</v>
      </c>
      <c r="S10" s="129" t="s">
        <v>731</v>
      </c>
      <c r="T10" s="147" t="s">
        <v>239</v>
      </c>
    </row>
    <row r="11" ht="21.75" customHeight="1">
      <c r="A11" s="142" t="s">
        <v>732</v>
      </c>
      <c r="B11" s="68" t="s">
        <v>233</v>
      </c>
      <c r="C11" s="143">
        <v>2026.0</v>
      </c>
      <c r="D11" s="68" t="s">
        <v>200</v>
      </c>
      <c r="E11" s="68" t="s">
        <v>733</v>
      </c>
      <c r="F11" s="143">
        <v>15.0</v>
      </c>
      <c r="G11" s="41">
        <v>1878342.0</v>
      </c>
      <c r="H11" s="41">
        <v>350000.0</v>
      </c>
      <c r="I11" s="41">
        <v>311658.0</v>
      </c>
      <c r="J11" s="43">
        <v>2540000.0</v>
      </c>
      <c r="K11" s="41">
        <v>90000.0</v>
      </c>
      <c r="L11" s="41">
        <v>90000.0</v>
      </c>
      <c r="M11" s="41">
        <v>236121.0</v>
      </c>
      <c r="N11" s="41">
        <v>184973.0</v>
      </c>
      <c r="O11" s="43">
        <v>1938906.0</v>
      </c>
      <c r="P11" s="68" t="s">
        <v>291</v>
      </c>
      <c r="Q11" s="144" t="s">
        <v>517</v>
      </c>
      <c r="R11" s="99" t="s">
        <v>714</v>
      </c>
      <c r="S11" s="145" t="s">
        <v>734</v>
      </c>
      <c r="T11" s="146" t="s">
        <v>236</v>
      </c>
    </row>
    <row r="12" ht="21.75" customHeight="1">
      <c r="A12" s="127" t="s">
        <v>735</v>
      </c>
      <c r="B12" s="73" t="s">
        <v>233</v>
      </c>
      <c r="C12" s="130">
        <v>2026.0</v>
      </c>
      <c r="D12" s="73" t="s">
        <v>189</v>
      </c>
      <c r="E12" s="73" t="s">
        <v>736</v>
      </c>
      <c r="F12" s="130">
        <v>15.0</v>
      </c>
      <c r="G12" s="49">
        <v>1878342.0</v>
      </c>
      <c r="H12" s="49">
        <v>450000.0</v>
      </c>
      <c r="I12" s="49">
        <v>1921658.0</v>
      </c>
      <c r="J12" s="52">
        <v>4250000.0</v>
      </c>
      <c r="K12" s="49">
        <v>110000.0</v>
      </c>
      <c r="L12" s="49">
        <v>110000.0</v>
      </c>
      <c r="M12" s="49">
        <v>236121.0</v>
      </c>
      <c r="N12" s="49">
        <v>274671.0</v>
      </c>
      <c r="O12" s="52">
        <v>3519208.0</v>
      </c>
      <c r="P12" s="73" t="s">
        <v>291</v>
      </c>
      <c r="Q12" s="128" t="s">
        <v>526</v>
      </c>
      <c r="R12" s="99" t="s">
        <v>714</v>
      </c>
      <c r="S12" s="129" t="s">
        <v>737</v>
      </c>
      <c r="T12" s="147" t="s">
        <v>232</v>
      </c>
    </row>
    <row r="13" ht="21.75" customHeight="1">
      <c r="A13" s="142" t="s">
        <v>738</v>
      </c>
      <c r="B13" s="68" t="s">
        <v>226</v>
      </c>
      <c r="C13" s="143">
        <v>2026.0</v>
      </c>
      <c r="D13" s="68" t="s">
        <v>200</v>
      </c>
      <c r="E13" s="68" t="s">
        <v>739</v>
      </c>
      <c r="F13" s="143">
        <v>15.0</v>
      </c>
      <c r="G13" s="41">
        <v>1878342.0</v>
      </c>
      <c r="H13" s="41">
        <v>120000.0</v>
      </c>
      <c r="I13" s="41">
        <v>107575.0</v>
      </c>
      <c r="J13" s="43">
        <v>2105917.0</v>
      </c>
      <c r="K13" s="41">
        <v>80143.0</v>
      </c>
      <c r="L13" s="41">
        <v>80143.0</v>
      </c>
      <c r="M13" s="41">
        <v>236121.0</v>
      </c>
      <c r="N13" s="41">
        <v>183380.0</v>
      </c>
      <c r="O13" s="43">
        <v>1526130.0</v>
      </c>
      <c r="P13" s="68" t="s">
        <v>291</v>
      </c>
      <c r="Q13" s="144" t="s">
        <v>551</v>
      </c>
      <c r="R13" s="99" t="s">
        <v>714</v>
      </c>
      <c r="S13" s="145" t="s">
        <v>740</v>
      </c>
      <c r="T13" s="146" t="s">
        <v>229</v>
      </c>
    </row>
    <row r="14" ht="21.75" customHeight="1">
      <c r="A14" s="127" t="s">
        <v>741</v>
      </c>
      <c r="B14" s="73" t="s">
        <v>226</v>
      </c>
      <c r="C14" s="130">
        <v>2026.0</v>
      </c>
      <c r="D14" s="73" t="s">
        <v>189</v>
      </c>
      <c r="E14" s="73" t="s">
        <v>742</v>
      </c>
      <c r="F14" s="130">
        <v>15.0</v>
      </c>
      <c r="G14" s="49">
        <v>1878342.0</v>
      </c>
      <c r="H14" s="49">
        <v>180000.0</v>
      </c>
      <c r="I14" s="49">
        <v>181658.0</v>
      </c>
      <c r="J14" s="52">
        <v>2240000.0</v>
      </c>
      <c r="K14" s="49">
        <v>86000.0</v>
      </c>
      <c r="L14" s="49">
        <v>86000.0</v>
      </c>
      <c r="M14" s="49">
        <v>236121.0</v>
      </c>
      <c r="N14" s="49">
        <v>194256.0</v>
      </c>
      <c r="O14" s="52">
        <v>1637623.0</v>
      </c>
      <c r="P14" s="73" t="s">
        <v>291</v>
      </c>
      <c r="Q14" s="128" t="s">
        <v>562</v>
      </c>
      <c r="R14" s="99" t="s">
        <v>714</v>
      </c>
      <c r="S14" s="129" t="s">
        <v>743</v>
      </c>
      <c r="T14" s="147" t="s">
        <v>225</v>
      </c>
    </row>
    <row r="15" ht="21.75" customHeight="1">
      <c r="A15" s="142" t="s">
        <v>744</v>
      </c>
      <c r="B15" s="68" t="s">
        <v>219</v>
      </c>
      <c r="C15" s="143">
        <v>2026.0</v>
      </c>
      <c r="D15" s="68" t="s">
        <v>200</v>
      </c>
      <c r="E15" s="68" t="s">
        <v>745</v>
      </c>
      <c r="F15" s="143">
        <v>15.0</v>
      </c>
      <c r="G15" s="41">
        <v>1878342.0</v>
      </c>
      <c r="H15" s="41">
        <v>150000.0</v>
      </c>
      <c r="I15" s="41">
        <v>151658.0</v>
      </c>
      <c r="J15" s="43">
        <v>2180000.0</v>
      </c>
      <c r="K15" s="41">
        <v>85000.0</v>
      </c>
      <c r="L15" s="41">
        <v>85000.0</v>
      </c>
      <c r="M15" s="41">
        <v>236121.0</v>
      </c>
      <c r="N15" s="41">
        <v>198389.0</v>
      </c>
      <c r="O15" s="43">
        <v>1575490.0</v>
      </c>
      <c r="P15" s="68" t="s">
        <v>291</v>
      </c>
      <c r="Q15" s="144" t="s">
        <v>582</v>
      </c>
      <c r="R15" s="99" t="s">
        <v>714</v>
      </c>
      <c r="S15" s="145" t="s">
        <v>746</v>
      </c>
      <c r="T15" s="146" t="s">
        <v>222</v>
      </c>
    </row>
    <row r="16" ht="21.75" customHeight="1">
      <c r="A16" s="127" t="s">
        <v>747</v>
      </c>
      <c r="B16" s="73" t="s">
        <v>219</v>
      </c>
      <c r="C16" s="130">
        <v>2026.0</v>
      </c>
      <c r="D16" s="73" t="s">
        <v>189</v>
      </c>
      <c r="E16" s="73" t="s">
        <v>748</v>
      </c>
      <c r="F16" s="130">
        <v>15.0</v>
      </c>
      <c r="G16" s="49">
        <v>1878342.0</v>
      </c>
      <c r="H16" s="49">
        <v>320000.0</v>
      </c>
      <c r="I16" s="49">
        <v>321658.0</v>
      </c>
      <c r="J16" s="52">
        <v>2520000.0</v>
      </c>
      <c r="K16" s="49">
        <v>92000.0</v>
      </c>
      <c r="L16" s="49">
        <v>92000.0</v>
      </c>
      <c r="M16" s="49">
        <v>236121.0</v>
      </c>
      <c r="N16" s="49">
        <v>181257.0</v>
      </c>
      <c r="O16" s="52">
        <v>1918622.0</v>
      </c>
      <c r="P16" s="73" t="s">
        <v>291</v>
      </c>
      <c r="Q16" s="128" t="s">
        <v>598</v>
      </c>
      <c r="R16" s="99" t="s">
        <v>714</v>
      </c>
      <c r="S16" s="129" t="s">
        <v>749</v>
      </c>
      <c r="T16" s="147" t="s">
        <v>218</v>
      </c>
    </row>
    <row r="17" ht="21.75" customHeight="1">
      <c r="A17" s="142" t="s">
        <v>750</v>
      </c>
      <c r="B17" s="68" t="s">
        <v>212</v>
      </c>
      <c r="C17" s="143">
        <v>2026.0</v>
      </c>
      <c r="D17" s="68" t="s">
        <v>200</v>
      </c>
      <c r="E17" s="68" t="s">
        <v>751</v>
      </c>
      <c r="F17" s="143">
        <v>15.0</v>
      </c>
      <c r="G17" s="41">
        <v>1878342.0</v>
      </c>
      <c r="H17" s="41">
        <v>240000.0</v>
      </c>
      <c r="I17" s="41">
        <v>241658.0</v>
      </c>
      <c r="J17" s="43">
        <v>2360000.0</v>
      </c>
      <c r="K17" s="41">
        <v>88000.0</v>
      </c>
      <c r="L17" s="41">
        <v>88000.0</v>
      </c>
      <c r="M17" s="41">
        <v>236121.0</v>
      </c>
      <c r="N17" s="41">
        <v>188963.0</v>
      </c>
      <c r="O17" s="43">
        <v>1758916.0</v>
      </c>
      <c r="P17" s="68" t="s">
        <v>291</v>
      </c>
      <c r="Q17" s="144" t="s">
        <v>620</v>
      </c>
      <c r="R17" s="99" t="s">
        <v>714</v>
      </c>
      <c r="S17" s="145" t="s">
        <v>752</v>
      </c>
      <c r="T17" s="146" t="s">
        <v>215</v>
      </c>
    </row>
    <row r="18" ht="21.75" customHeight="1">
      <c r="A18" s="127" t="s">
        <v>753</v>
      </c>
      <c r="B18" s="73" t="s">
        <v>212</v>
      </c>
      <c r="C18" s="130">
        <v>2026.0</v>
      </c>
      <c r="D18" s="73" t="s">
        <v>189</v>
      </c>
      <c r="E18" s="73" t="s">
        <v>754</v>
      </c>
      <c r="F18" s="130">
        <v>15.0</v>
      </c>
      <c r="G18" s="49">
        <v>1878342.0</v>
      </c>
      <c r="H18" s="49">
        <v>230000.0</v>
      </c>
      <c r="I18" s="49">
        <v>241658.0</v>
      </c>
      <c r="J18" s="52">
        <v>2350000.0</v>
      </c>
      <c r="K18" s="49">
        <v>88000.0</v>
      </c>
      <c r="L18" s="49">
        <v>88000.0</v>
      </c>
      <c r="M18" s="49">
        <v>236121.0</v>
      </c>
      <c r="N18" s="49">
        <v>187384.0</v>
      </c>
      <c r="O18" s="52">
        <v>1750495.0</v>
      </c>
      <c r="P18" s="73" t="s">
        <v>291</v>
      </c>
      <c r="Q18" s="128" t="s">
        <v>629</v>
      </c>
      <c r="R18" s="99" t="s">
        <v>714</v>
      </c>
      <c r="S18" s="129" t="s">
        <v>755</v>
      </c>
      <c r="T18" s="147" t="s">
        <v>211</v>
      </c>
    </row>
    <row r="19" ht="21.75" customHeight="1">
      <c r="A19" s="142" t="s">
        <v>756</v>
      </c>
      <c r="B19" s="68" t="s">
        <v>205</v>
      </c>
      <c r="C19" s="143">
        <v>2026.0</v>
      </c>
      <c r="D19" s="68" t="s">
        <v>200</v>
      </c>
      <c r="E19" s="68" t="s">
        <v>757</v>
      </c>
      <c r="F19" s="143">
        <v>15.0</v>
      </c>
      <c r="G19" s="41">
        <v>1878342.0</v>
      </c>
      <c r="H19" s="41">
        <v>0.0</v>
      </c>
      <c r="I19" s="41">
        <v>0.0</v>
      </c>
      <c r="J19" s="43">
        <v>1627897.0</v>
      </c>
      <c r="K19" s="41">
        <v>65116.0</v>
      </c>
      <c r="L19" s="41">
        <v>65116.0</v>
      </c>
      <c r="M19" s="41">
        <v>236121.0</v>
      </c>
      <c r="N19" s="41">
        <v>215244.0</v>
      </c>
      <c r="O19" s="43">
        <v>1046300.0</v>
      </c>
      <c r="P19" s="68" t="s">
        <v>291</v>
      </c>
      <c r="Q19" s="144" t="s">
        <v>648</v>
      </c>
      <c r="R19" s="99" t="s">
        <v>714</v>
      </c>
      <c r="S19" s="145" t="s">
        <v>758</v>
      </c>
      <c r="T19" s="146" t="s">
        <v>208</v>
      </c>
    </row>
    <row r="20" ht="21.75" customHeight="1">
      <c r="A20" s="127" t="s">
        <v>759</v>
      </c>
      <c r="B20" s="73" t="s">
        <v>205</v>
      </c>
      <c r="C20" s="130">
        <v>2026.0</v>
      </c>
      <c r="D20" s="73" t="s">
        <v>189</v>
      </c>
      <c r="E20" s="73" t="s">
        <v>760</v>
      </c>
      <c r="F20" s="130">
        <v>15.0</v>
      </c>
      <c r="G20" s="49">
        <v>1878342.0</v>
      </c>
      <c r="H20" s="49">
        <v>210000.0</v>
      </c>
      <c r="I20" s="49">
        <v>193461.0</v>
      </c>
      <c r="J20" s="52">
        <v>2281803.0</v>
      </c>
      <c r="K20" s="49">
        <v>87465.0</v>
      </c>
      <c r="L20" s="49">
        <v>87465.0</v>
      </c>
      <c r="M20" s="49">
        <v>236121.0</v>
      </c>
      <c r="N20" s="49">
        <v>183380.0</v>
      </c>
      <c r="O20" s="52">
        <v>1687372.0</v>
      </c>
      <c r="P20" s="73" t="s">
        <v>291</v>
      </c>
      <c r="Q20" s="128" t="s">
        <v>657</v>
      </c>
      <c r="R20" s="99" t="s">
        <v>714</v>
      </c>
      <c r="S20" s="129" t="s">
        <v>761</v>
      </c>
      <c r="T20" s="147" t="s">
        <v>204</v>
      </c>
    </row>
    <row r="21" ht="21.75" customHeight="1">
      <c r="A21" s="142" t="s">
        <v>762</v>
      </c>
      <c r="B21" s="68" t="s">
        <v>197</v>
      </c>
      <c r="C21" s="143">
        <v>2026.0</v>
      </c>
      <c r="D21" s="68" t="s">
        <v>200</v>
      </c>
      <c r="E21" s="68" t="s">
        <v>763</v>
      </c>
      <c r="F21" s="143">
        <v>15.0</v>
      </c>
      <c r="G21" s="41">
        <v>1878342.0</v>
      </c>
      <c r="H21" s="41">
        <v>120000.0</v>
      </c>
      <c r="I21" s="41">
        <v>120357.0</v>
      </c>
      <c r="J21" s="43">
        <v>2118699.0</v>
      </c>
      <c r="K21" s="41">
        <v>85449.0</v>
      </c>
      <c r="L21" s="41">
        <v>85449.0</v>
      </c>
      <c r="M21" s="41">
        <v>236121.0</v>
      </c>
      <c r="N21" s="41">
        <v>209320.0</v>
      </c>
      <c r="O21" s="43">
        <v>1502360.0</v>
      </c>
      <c r="P21" s="68" t="s">
        <v>291</v>
      </c>
      <c r="Q21" s="144" t="s">
        <v>670</v>
      </c>
      <c r="R21" s="99" t="s">
        <v>714</v>
      </c>
      <c r="S21" s="145" t="s">
        <v>764</v>
      </c>
      <c r="T21" s="146" t="s">
        <v>201</v>
      </c>
    </row>
    <row r="22" ht="21.75" customHeight="1">
      <c r="A22" s="148" t="s">
        <v>765</v>
      </c>
      <c r="B22" s="94" t="s">
        <v>197</v>
      </c>
      <c r="C22" s="149">
        <v>2026.0</v>
      </c>
      <c r="D22" s="94" t="s">
        <v>189</v>
      </c>
      <c r="E22" s="94" t="s">
        <v>766</v>
      </c>
      <c r="F22" s="149">
        <v>15.0</v>
      </c>
      <c r="G22" s="150">
        <v>1878342.0</v>
      </c>
      <c r="H22" s="150">
        <v>550000.0</v>
      </c>
      <c r="I22" s="150">
        <v>558122.0</v>
      </c>
      <c r="J22" s="151">
        <v>2986464.0</v>
      </c>
      <c r="K22" s="150">
        <v>91518.0</v>
      </c>
      <c r="L22" s="150">
        <v>91518.0</v>
      </c>
      <c r="M22" s="150">
        <v>236121.0</v>
      </c>
      <c r="N22" s="150">
        <v>227445.0</v>
      </c>
      <c r="O22" s="151">
        <v>2339862.0</v>
      </c>
      <c r="P22" s="94" t="s">
        <v>291</v>
      </c>
      <c r="Q22" s="152" t="s">
        <v>685</v>
      </c>
      <c r="R22" s="153" t="s">
        <v>714</v>
      </c>
      <c r="S22" s="154" t="s">
        <v>767</v>
      </c>
      <c r="T22" s="155" t="s">
        <v>196</v>
      </c>
    </row>
    <row r="23" ht="30.0" customHeight="1">
      <c r="A23" s="104"/>
      <c r="B23" s="31" t="s">
        <v>768</v>
      </c>
      <c r="C23" s="32"/>
      <c r="D23" s="32"/>
      <c r="E23" s="32"/>
      <c r="F23" s="32"/>
      <c r="G23" s="32"/>
      <c r="H23" s="32"/>
      <c r="I23" s="32"/>
      <c r="J23" s="32"/>
      <c r="K23" s="33"/>
      <c r="L23" s="104"/>
      <c r="M23" s="104"/>
      <c r="N23" s="104"/>
      <c r="O23" s="104"/>
      <c r="P23" s="104"/>
      <c r="Q23" s="104"/>
      <c r="R23" s="104"/>
      <c r="S23" s="104"/>
      <c r="T23" s="104"/>
    </row>
    <row r="24" ht="27.75" customHeight="1">
      <c r="A24" s="104"/>
      <c r="B24" s="156" t="s">
        <v>769</v>
      </c>
      <c r="C24" s="38"/>
      <c r="D24" s="97"/>
      <c r="E24" s="157" t="s">
        <v>770</v>
      </c>
      <c r="F24" s="97"/>
      <c r="G24" s="157" t="s">
        <v>771</v>
      </c>
      <c r="H24" s="97"/>
      <c r="I24" s="157" t="s">
        <v>772</v>
      </c>
      <c r="J24" s="97"/>
      <c r="K24" s="158" t="s">
        <v>773</v>
      </c>
      <c r="L24" s="104"/>
      <c r="M24" s="104"/>
      <c r="N24" s="104"/>
      <c r="O24" s="104"/>
      <c r="P24" s="104"/>
      <c r="Q24" s="104"/>
      <c r="R24" s="104"/>
      <c r="S24" s="104"/>
      <c r="T24" s="104"/>
    </row>
    <row r="25" ht="21.75" customHeight="1">
      <c r="A25" s="104"/>
      <c r="B25" s="159" t="s">
        <v>774</v>
      </c>
      <c r="C25" s="46"/>
      <c r="D25" s="65"/>
      <c r="E25" s="160" t="s">
        <v>775</v>
      </c>
      <c r="F25" s="65"/>
      <c r="G25" s="161" t="s">
        <v>776</v>
      </c>
      <c r="H25" s="65"/>
      <c r="I25" s="66">
        <f>AVERAGE(J4:J22)</f>
        <v>2418909.056</v>
      </c>
      <c r="J25" s="65"/>
      <c r="K25" s="162" t="s">
        <v>777</v>
      </c>
      <c r="L25" s="104"/>
      <c r="M25" s="104"/>
      <c r="N25" s="104"/>
      <c r="O25" s="104"/>
      <c r="P25" s="104"/>
      <c r="Q25" s="104"/>
      <c r="R25" s="104"/>
      <c r="S25" s="104"/>
      <c r="T25" s="104"/>
    </row>
    <row r="26" ht="21.75" customHeight="1">
      <c r="A26" s="104"/>
      <c r="B26" s="163" t="s">
        <v>103</v>
      </c>
      <c r="C26" s="46"/>
      <c r="D26" s="65"/>
      <c r="E26" s="164" t="s">
        <v>778</v>
      </c>
      <c r="F26" s="65"/>
      <c r="G26" s="165" t="s">
        <v>779</v>
      </c>
      <c r="H26" s="65"/>
      <c r="I26" s="71">
        <f>AVERAGE(J4:J22)</f>
        <v>2418909.056</v>
      </c>
      <c r="J26" s="65"/>
      <c r="K26" s="166" t="s">
        <v>780</v>
      </c>
      <c r="L26" s="104"/>
      <c r="M26" s="104"/>
      <c r="N26" s="104"/>
      <c r="O26" s="104"/>
      <c r="P26" s="104"/>
      <c r="Q26" s="104"/>
      <c r="R26" s="104"/>
      <c r="S26" s="104"/>
      <c r="T26" s="104"/>
    </row>
    <row r="27" ht="21.75" customHeight="1">
      <c r="A27" s="104"/>
      <c r="B27" s="159" t="s">
        <v>781</v>
      </c>
      <c r="C27" s="46"/>
      <c r="D27" s="65"/>
      <c r="E27" s="160" t="s">
        <v>782</v>
      </c>
      <c r="F27" s="65"/>
      <c r="G27" s="161" t="s">
        <v>783</v>
      </c>
      <c r="H27" s="65"/>
      <c r="I27" s="66">
        <f>AHORROS!C9</f>
        <v>2160000</v>
      </c>
      <c r="J27" s="65"/>
      <c r="K27" s="162" t="s">
        <v>784</v>
      </c>
      <c r="L27" s="104"/>
      <c r="M27" s="104"/>
      <c r="N27" s="104"/>
      <c r="O27" s="104"/>
      <c r="P27" s="104"/>
      <c r="Q27" s="104"/>
      <c r="R27" s="104"/>
      <c r="S27" s="104"/>
      <c r="T27" s="104"/>
    </row>
    <row r="28" ht="21.75" customHeight="1">
      <c r="A28" s="104"/>
      <c r="B28" s="163" t="s">
        <v>785</v>
      </c>
      <c r="C28" s="46"/>
      <c r="D28" s="65"/>
      <c r="E28" s="164" t="s">
        <v>786</v>
      </c>
      <c r="F28" s="65"/>
      <c r="G28" s="165" t="s">
        <v>787</v>
      </c>
      <c r="H28" s="65"/>
      <c r="I28" s="71">
        <f>AVERAGE(J4:J22)*2</f>
        <v>4837818.111</v>
      </c>
      <c r="J28" s="65"/>
      <c r="K28" s="166" t="s">
        <v>788</v>
      </c>
      <c r="L28" s="104"/>
      <c r="M28" s="104"/>
      <c r="N28" s="104"/>
      <c r="O28" s="104"/>
      <c r="P28" s="104"/>
      <c r="Q28" s="104"/>
      <c r="R28" s="104"/>
      <c r="S28" s="104"/>
      <c r="T28" s="104"/>
    </row>
    <row r="29" ht="21.75" customHeight="1">
      <c r="A29" s="104"/>
      <c r="B29" s="159" t="s">
        <v>789</v>
      </c>
      <c r="C29" s="46"/>
      <c r="D29" s="65"/>
      <c r="E29" s="160" t="s">
        <v>790</v>
      </c>
      <c r="F29" s="65"/>
      <c r="G29" s="161" t="s">
        <v>791</v>
      </c>
      <c r="H29" s="65"/>
      <c r="I29" s="66">
        <f>(AVERAGE(J4:J22)*2)*0.12</f>
        <v>580538.1733</v>
      </c>
      <c r="J29" s="65"/>
      <c r="K29" s="162" t="s">
        <v>792</v>
      </c>
      <c r="L29" s="104"/>
      <c r="M29" s="104"/>
      <c r="N29" s="104"/>
      <c r="O29" s="104"/>
      <c r="P29" s="104"/>
      <c r="Q29" s="104"/>
      <c r="R29" s="104"/>
      <c r="S29" s="104"/>
      <c r="T29" s="104"/>
    </row>
    <row r="30" ht="25.5" customHeight="1">
      <c r="A30" s="104"/>
      <c r="B30" s="167" t="s">
        <v>793</v>
      </c>
      <c r="C30" s="61"/>
      <c r="D30" s="61"/>
      <c r="E30" s="61"/>
      <c r="F30" s="61"/>
      <c r="G30" s="61"/>
      <c r="H30" s="78"/>
      <c r="I30" s="102">
        <f>SUM(I25:I29)</f>
        <v>12416174.4</v>
      </c>
      <c r="J30" s="78"/>
      <c r="K30" s="168" t="s">
        <v>794</v>
      </c>
      <c r="L30" s="104"/>
      <c r="M30" s="104"/>
      <c r="N30" s="104"/>
      <c r="O30" s="104"/>
      <c r="P30" s="104"/>
      <c r="Q30" s="104"/>
      <c r="R30" s="104"/>
      <c r="S30" s="104"/>
      <c r="T30" s="104"/>
    </row>
    <row r="31" ht="15.75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T1"/>
    <mergeCell ref="A2:T2"/>
    <mergeCell ref="B23:K23"/>
    <mergeCell ref="B24:D24"/>
    <mergeCell ref="E24:F24"/>
    <mergeCell ref="G24:H24"/>
    <mergeCell ref="I24:J24"/>
    <mergeCell ref="B25:D25"/>
    <mergeCell ref="E25:F25"/>
    <mergeCell ref="G25:H25"/>
    <mergeCell ref="I25:J25"/>
    <mergeCell ref="E26:F26"/>
    <mergeCell ref="G26:H26"/>
    <mergeCell ref="I26:J26"/>
    <mergeCell ref="G28:H28"/>
    <mergeCell ref="I28:J28"/>
    <mergeCell ref="B29:D29"/>
    <mergeCell ref="E29:F29"/>
    <mergeCell ref="G29:H29"/>
    <mergeCell ref="I29:J29"/>
    <mergeCell ref="B30:H30"/>
    <mergeCell ref="I30:J30"/>
    <mergeCell ref="B26:D26"/>
    <mergeCell ref="B27:D27"/>
    <mergeCell ref="E27:F27"/>
    <mergeCell ref="G27:H27"/>
    <mergeCell ref="I27:J27"/>
    <mergeCell ref="B28:D28"/>
    <mergeCell ref="E28:F2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30.0"/>
    <col customWidth="1" min="2" max="2" width="25.0"/>
    <col customWidth="1" min="3" max="3" width="31.0"/>
    <col customWidth="1" min="4" max="4" width="34.0"/>
    <col customWidth="1" min="5" max="5" width="46.0"/>
    <col customWidth="1" min="6" max="6" width="15.0"/>
    <col customWidth="1" min="7" max="7" width="13.0"/>
    <col customWidth="1" min="8" max="8" width="46.0"/>
    <col customWidth="1" min="9" max="9" width="22.0"/>
  </cols>
  <sheetData>
    <row r="1" ht="39.75" customHeight="1">
      <c r="A1" s="2" t="s">
        <v>795</v>
      </c>
      <c r="B1" s="3"/>
      <c r="C1" s="3"/>
      <c r="D1" s="3"/>
      <c r="E1" s="3"/>
      <c r="F1" s="3"/>
      <c r="G1" s="3"/>
      <c r="H1" s="3"/>
      <c r="I1" s="4"/>
    </row>
    <row r="2" ht="24.0" customHeight="1">
      <c r="A2" s="9" t="s">
        <v>796</v>
      </c>
      <c r="B2" s="3"/>
      <c r="C2" s="3"/>
      <c r="D2" s="3"/>
      <c r="E2" s="3"/>
      <c r="F2" s="3"/>
      <c r="G2" s="3"/>
      <c r="H2" s="3"/>
      <c r="I2" s="4"/>
    </row>
    <row r="3" ht="9.75" customHeight="1">
      <c r="A3" s="104"/>
      <c r="B3" s="104"/>
      <c r="C3" s="104"/>
      <c r="D3" s="104"/>
      <c r="E3" s="104"/>
      <c r="F3" s="104"/>
      <c r="G3" s="104"/>
      <c r="H3" s="104"/>
      <c r="I3" s="104"/>
    </row>
    <row r="4" ht="19.5" customHeight="1">
      <c r="A4" s="17" t="s">
        <v>797</v>
      </c>
      <c r="B4" s="19"/>
      <c r="C4" s="11" t="s">
        <v>798</v>
      </c>
      <c r="D4" s="13"/>
      <c r="E4" s="169" t="s">
        <v>799</v>
      </c>
      <c r="F4" s="104"/>
      <c r="G4" s="104"/>
      <c r="H4" s="104"/>
      <c r="I4" s="104"/>
    </row>
    <row r="5" ht="33.75" customHeight="1">
      <c r="A5" s="26">
        <f>C12</f>
        <v>3931299</v>
      </c>
      <c r="B5" s="24"/>
      <c r="C5" s="22">
        <f>B12</f>
        <v>0</v>
      </c>
      <c r="D5" s="24"/>
      <c r="E5" s="170">
        <f>C9</f>
        <v>2160000</v>
      </c>
      <c r="F5" s="104"/>
      <c r="G5" s="104"/>
      <c r="H5" s="104"/>
      <c r="I5" s="104"/>
    </row>
    <row r="6" ht="9.75" customHeight="1">
      <c r="A6" s="104"/>
      <c r="B6" s="171"/>
      <c r="C6" s="104"/>
      <c r="D6" s="104"/>
      <c r="E6" s="172"/>
      <c r="F6" s="104"/>
      <c r="G6" s="104"/>
      <c r="H6" s="104"/>
      <c r="I6" s="104"/>
    </row>
    <row r="7" ht="27.75" customHeight="1">
      <c r="A7" s="105" t="s">
        <v>800</v>
      </c>
      <c r="B7" s="106" t="s">
        <v>12</v>
      </c>
      <c r="C7" s="106" t="s">
        <v>13</v>
      </c>
      <c r="D7" s="106" t="s">
        <v>14</v>
      </c>
      <c r="E7" s="173" t="s">
        <v>801</v>
      </c>
      <c r="F7" s="104"/>
      <c r="G7" s="104"/>
      <c r="H7" s="104"/>
      <c r="I7" s="104"/>
    </row>
    <row r="8" ht="21.75" customHeight="1">
      <c r="A8" s="174" t="s">
        <v>19</v>
      </c>
      <c r="B8" s="175">
        <f>SUMIFS($E$14:$E$87, $D$14:$D$87, A8, $F$14:$F$87, PANEL!$L$2, $G$14:$G$87, PANEL!$I$2)</f>
        <v>0</v>
      </c>
      <c r="C8" s="175">
        <f t="shared" ref="C8:C10" si="1">SUMIF($D$14:$D$87, A8, $E$14:$E$87)</f>
        <v>594000</v>
      </c>
      <c r="D8" s="176">
        <f t="shared" ref="D8:D11" si="2">IFERROR(C8/$C$12, 0)</f>
        <v>0.151095096</v>
      </c>
      <c r="E8" s="177" t="s">
        <v>802</v>
      </c>
      <c r="F8" s="104"/>
      <c r="G8" s="104"/>
      <c r="H8" s="104"/>
      <c r="I8" s="104"/>
    </row>
    <row r="9" ht="21.75" customHeight="1">
      <c r="A9" s="178" t="s">
        <v>23</v>
      </c>
      <c r="B9" s="179">
        <f>SUMIFS($E$14:$E$87, $D$14:$D$87, A9, $F$14:$F$87, PANEL!$L$2, $G$14:$G$87, PANEL!$I$2)</f>
        <v>0</v>
      </c>
      <c r="C9" s="179">
        <f t="shared" si="1"/>
        <v>2160000</v>
      </c>
      <c r="D9" s="180">
        <f t="shared" si="2"/>
        <v>0.5494367129</v>
      </c>
      <c r="E9" s="181" t="s">
        <v>803</v>
      </c>
      <c r="F9" s="104"/>
      <c r="G9" s="104"/>
      <c r="H9" s="104"/>
      <c r="I9" s="104"/>
    </row>
    <row r="10" ht="21.75" customHeight="1">
      <c r="A10" s="174" t="s">
        <v>27</v>
      </c>
      <c r="B10" s="175">
        <f>SUMIFS($E$14:$E$87, $D$14:$D$87, A10, $F$14:$F$87, PANEL!$L$2, $G$14:$G$87, PANEL!$I$2)</f>
        <v>0</v>
      </c>
      <c r="C10" s="175">
        <f t="shared" si="1"/>
        <v>995083</v>
      </c>
      <c r="D10" s="176">
        <f t="shared" si="2"/>
        <v>0.2531181169</v>
      </c>
      <c r="E10" s="177" t="s">
        <v>804</v>
      </c>
      <c r="F10" s="104"/>
      <c r="G10" s="104"/>
      <c r="H10" s="104"/>
      <c r="I10" s="104"/>
    </row>
    <row r="11" ht="21.75" customHeight="1">
      <c r="A11" s="178" t="s">
        <v>31</v>
      </c>
      <c r="B11" s="179">
        <f>SUMIFS($E$14:$E$87, $F$14:$F$87, PANEL!$L$2, $G$14:$G$87, PANEL!$I$2) - SUM(B8:B10)</f>
        <v>0</v>
      </c>
      <c r="C11" s="179">
        <f>SUM($E$14:$E$87) - SUM(C8:C10)</f>
        <v>182216</v>
      </c>
      <c r="D11" s="180">
        <f t="shared" si="2"/>
        <v>0.04635007411</v>
      </c>
      <c r="E11" s="181" t="s">
        <v>805</v>
      </c>
      <c r="F11" s="104"/>
      <c r="G11" s="104"/>
      <c r="H11" s="104"/>
      <c r="I11" s="104"/>
    </row>
    <row r="12" ht="25.5" customHeight="1">
      <c r="A12" s="182" t="s">
        <v>806</v>
      </c>
      <c r="B12" s="183">
        <f t="shared" ref="B12:D12" si="3">SUM(B8:B11)</f>
        <v>0</v>
      </c>
      <c r="C12" s="183">
        <f t="shared" si="3"/>
        <v>3931299</v>
      </c>
      <c r="D12" s="184">
        <f t="shared" si="3"/>
        <v>1</v>
      </c>
      <c r="E12" s="185" t="s">
        <v>807</v>
      </c>
      <c r="F12" s="104"/>
      <c r="G12" s="104"/>
      <c r="H12" s="104"/>
      <c r="I12" s="104"/>
    </row>
    <row r="13" ht="12.0" customHeight="1">
      <c r="A13" s="104"/>
      <c r="B13" s="171"/>
      <c r="C13" s="104"/>
      <c r="D13" s="104"/>
      <c r="E13" s="172"/>
      <c r="F13" s="104"/>
      <c r="G13" s="104"/>
      <c r="H13" s="104"/>
      <c r="I13" s="104"/>
    </row>
    <row r="14" ht="27.75" customHeight="1">
      <c r="A14" s="186" t="s">
        <v>808</v>
      </c>
      <c r="B14" s="107" t="s">
        <v>809</v>
      </c>
      <c r="C14" s="107" t="s">
        <v>810</v>
      </c>
      <c r="D14" s="107" t="s">
        <v>811</v>
      </c>
      <c r="E14" s="107" t="s">
        <v>812</v>
      </c>
      <c r="F14" s="107" t="s">
        <v>130</v>
      </c>
      <c r="G14" s="107" t="s">
        <v>131</v>
      </c>
      <c r="H14" s="107" t="s">
        <v>135</v>
      </c>
      <c r="I14" s="187" t="s">
        <v>813</v>
      </c>
    </row>
    <row r="15" ht="21.75" customHeight="1">
      <c r="A15" s="109" t="s">
        <v>814</v>
      </c>
      <c r="B15" s="111" t="s">
        <v>469</v>
      </c>
      <c r="C15" s="124" t="s">
        <v>815</v>
      </c>
      <c r="D15" s="124" t="s">
        <v>19</v>
      </c>
      <c r="E15" s="113">
        <v>33000.0</v>
      </c>
      <c r="F15" s="111" t="s">
        <v>247</v>
      </c>
      <c r="G15" s="115">
        <v>2026.0</v>
      </c>
      <c r="H15" s="111" t="s">
        <v>816</v>
      </c>
      <c r="I15" s="188"/>
    </row>
    <row r="16" ht="21.75" customHeight="1">
      <c r="A16" s="117" t="s">
        <v>817</v>
      </c>
      <c r="B16" s="119" t="s">
        <v>469</v>
      </c>
      <c r="C16" s="120" t="s">
        <v>815</v>
      </c>
      <c r="D16" s="120" t="s">
        <v>23</v>
      </c>
      <c r="E16" s="121">
        <v>120000.0</v>
      </c>
      <c r="F16" s="119" t="s">
        <v>247</v>
      </c>
      <c r="G16" s="122">
        <v>2026.0</v>
      </c>
      <c r="H16" s="119" t="s">
        <v>818</v>
      </c>
      <c r="I16" s="189"/>
    </row>
    <row r="17" ht="21.75" customHeight="1">
      <c r="A17" s="109" t="s">
        <v>819</v>
      </c>
      <c r="B17" s="111" t="s">
        <v>469</v>
      </c>
      <c r="C17" s="124" t="s">
        <v>815</v>
      </c>
      <c r="D17" s="124" t="s">
        <v>27</v>
      </c>
      <c r="E17" s="113">
        <v>37567.0</v>
      </c>
      <c r="F17" s="111" t="s">
        <v>247</v>
      </c>
      <c r="G17" s="115">
        <v>2026.0</v>
      </c>
      <c r="H17" s="111" t="s">
        <v>820</v>
      </c>
      <c r="I17" s="188"/>
    </row>
    <row r="18" ht="21.75" customHeight="1">
      <c r="A18" s="117" t="s">
        <v>821</v>
      </c>
      <c r="B18" s="119" t="s">
        <v>469</v>
      </c>
      <c r="C18" s="120" t="s">
        <v>815</v>
      </c>
      <c r="D18" s="120" t="s">
        <v>822</v>
      </c>
      <c r="E18" s="121">
        <v>45554.0</v>
      </c>
      <c r="F18" s="119" t="s">
        <v>247</v>
      </c>
      <c r="G18" s="122">
        <v>2026.0</v>
      </c>
      <c r="H18" s="119" t="s">
        <v>823</v>
      </c>
      <c r="I18" s="189"/>
    </row>
    <row r="19" ht="21.75" customHeight="1">
      <c r="A19" s="109" t="s">
        <v>824</v>
      </c>
      <c r="B19" s="111" t="s">
        <v>629</v>
      </c>
      <c r="C19" s="124" t="s">
        <v>815</v>
      </c>
      <c r="D19" s="124" t="s">
        <v>19</v>
      </c>
      <c r="E19" s="113">
        <v>33000.0</v>
      </c>
      <c r="F19" s="111" t="s">
        <v>212</v>
      </c>
      <c r="G19" s="115">
        <v>2026.0</v>
      </c>
      <c r="H19" s="111" t="s">
        <v>825</v>
      </c>
      <c r="I19" s="188"/>
    </row>
    <row r="20" ht="21.75" customHeight="1">
      <c r="A20" s="117" t="s">
        <v>826</v>
      </c>
      <c r="B20" s="119" t="s">
        <v>629</v>
      </c>
      <c r="C20" s="120" t="s">
        <v>815</v>
      </c>
      <c r="D20" s="120" t="s">
        <v>23</v>
      </c>
      <c r="E20" s="121">
        <v>120000.0</v>
      </c>
      <c r="F20" s="119" t="s">
        <v>212</v>
      </c>
      <c r="G20" s="122">
        <v>2026.0</v>
      </c>
      <c r="H20" s="119" t="s">
        <v>825</v>
      </c>
      <c r="I20" s="189"/>
    </row>
    <row r="21" ht="21.75" customHeight="1">
      <c r="A21" s="109" t="s">
        <v>827</v>
      </c>
      <c r="B21" s="111" t="s">
        <v>629</v>
      </c>
      <c r="C21" s="124" t="s">
        <v>815</v>
      </c>
      <c r="D21" s="124" t="s">
        <v>27</v>
      </c>
      <c r="E21" s="113">
        <v>83121.0</v>
      </c>
      <c r="F21" s="111" t="s">
        <v>212</v>
      </c>
      <c r="G21" s="115">
        <v>2026.0</v>
      </c>
      <c r="H21" s="111" t="s">
        <v>825</v>
      </c>
      <c r="I21" s="188"/>
    </row>
    <row r="22" ht="21.75" customHeight="1">
      <c r="A22" s="117" t="s">
        <v>828</v>
      </c>
      <c r="B22" s="119" t="s">
        <v>620</v>
      </c>
      <c r="C22" s="120" t="s">
        <v>815</v>
      </c>
      <c r="D22" s="120" t="s">
        <v>19</v>
      </c>
      <c r="E22" s="121">
        <v>33000.0</v>
      </c>
      <c r="F22" s="119" t="s">
        <v>212</v>
      </c>
      <c r="G22" s="122">
        <v>2026.0</v>
      </c>
      <c r="H22" s="119" t="s">
        <v>825</v>
      </c>
      <c r="I22" s="189"/>
    </row>
    <row r="23" ht="21.75" customHeight="1">
      <c r="A23" s="109" t="s">
        <v>829</v>
      </c>
      <c r="B23" s="111" t="s">
        <v>620</v>
      </c>
      <c r="C23" s="124" t="s">
        <v>815</v>
      </c>
      <c r="D23" s="124" t="s">
        <v>23</v>
      </c>
      <c r="E23" s="113">
        <v>120000.0</v>
      </c>
      <c r="F23" s="111" t="s">
        <v>212</v>
      </c>
      <c r="G23" s="115">
        <v>2026.0</v>
      </c>
      <c r="H23" s="111" t="s">
        <v>825</v>
      </c>
      <c r="I23" s="188"/>
    </row>
    <row r="24" ht="21.75" customHeight="1">
      <c r="A24" s="117" t="s">
        <v>830</v>
      </c>
      <c r="B24" s="119" t="s">
        <v>620</v>
      </c>
      <c r="C24" s="120" t="s">
        <v>815</v>
      </c>
      <c r="D24" s="120" t="s">
        <v>27</v>
      </c>
      <c r="E24" s="121">
        <v>83121.0</v>
      </c>
      <c r="F24" s="119" t="s">
        <v>212</v>
      </c>
      <c r="G24" s="122">
        <v>2026.0</v>
      </c>
      <c r="H24" s="119" t="s">
        <v>825</v>
      </c>
      <c r="I24" s="189"/>
    </row>
    <row r="25" ht="21.75" customHeight="1">
      <c r="A25" s="109" t="s">
        <v>831</v>
      </c>
      <c r="B25" s="111" t="s">
        <v>598</v>
      </c>
      <c r="C25" s="124" t="s">
        <v>815</v>
      </c>
      <c r="D25" s="124" t="s">
        <v>19</v>
      </c>
      <c r="E25" s="113">
        <v>33000.0</v>
      </c>
      <c r="F25" s="111" t="s">
        <v>219</v>
      </c>
      <c r="G25" s="115">
        <v>2026.0</v>
      </c>
      <c r="H25" s="111" t="s">
        <v>825</v>
      </c>
      <c r="I25" s="188"/>
    </row>
    <row r="26" ht="21.75" customHeight="1">
      <c r="A26" s="117" t="s">
        <v>832</v>
      </c>
      <c r="B26" s="119" t="s">
        <v>598</v>
      </c>
      <c r="C26" s="120" t="s">
        <v>815</v>
      </c>
      <c r="D26" s="120" t="s">
        <v>23</v>
      </c>
      <c r="E26" s="121">
        <v>120000.0</v>
      </c>
      <c r="F26" s="119" t="s">
        <v>219</v>
      </c>
      <c r="G26" s="122">
        <v>2026.0</v>
      </c>
      <c r="H26" s="119" t="s">
        <v>825</v>
      </c>
      <c r="I26" s="189"/>
    </row>
    <row r="27" ht="21.75" customHeight="1">
      <c r="A27" s="109" t="s">
        <v>833</v>
      </c>
      <c r="B27" s="111" t="s">
        <v>598</v>
      </c>
      <c r="C27" s="124" t="s">
        <v>815</v>
      </c>
      <c r="D27" s="124" t="s">
        <v>27</v>
      </c>
      <c r="E27" s="113">
        <v>83121.0</v>
      </c>
      <c r="F27" s="111" t="s">
        <v>219</v>
      </c>
      <c r="G27" s="115">
        <v>2026.0</v>
      </c>
      <c r="H27" s="111" t="s">
        <v>825</v>
      </c>
      <c r="I27" s="188"/>
    </row>
    <row r="28" ht="21.75" customHeight="1">
      <c r="A28" s="117" t="s">
        <v>834</v>
      </c>
      <c r="B28" s="119" t="s">
        <v>582</v>
      </c>
      <c r="C28" s="120" t="s">
        <v>815</v>
      </c>
      <c r="D28" s="120" t="s">
        <v>19</v>
      </c>
      <c r="E28" s="121">
        <v>33000.0</v>
      </c>
      <c r="F28" s="119" t="s">
        <v>219</v>
      </c>
      <c r="G28" s="122">
        <v>2026.0</v>
      </c>
      <c r="H28" s="119" t="s">
        <v>825</v>
      </c>
      <c r="I28" s="189"/>
    </row>
    <row r="29" ht="21.75" customHeight="1">
      <c r="A29" s="109" t="s">
        <v>835</v>
      </c>
      <c r="B29" s="111" t="s">
        <v>582</v>
      </c>
      <c r="C29" s="124" t="s">
        <v>815</v>
      </c>
      <c r="D29" s="124" t="s">
        <v>23</v>
      </c>
      <c r="E29" s="113">
        <v>120000.0</v>
      </c>
      <c r="F29" s="111" t="s">
        <v>219</v>
      </c>
      <c r="G29" s="115">
        <v>2026.0</v>
      </c>
      <c r="H29" s="111" t="s">
        <v>825</v>
      </c>
      <c r="I29" s="188"/>
    </row>
    <row r="30" ht="21.75" customHeight="1">
      <c r="A30" s="117" t="s">
        <v>836</v>
      </c>
      <c r="B30" s="119" t="s">
        <v>582</v>
      </c>
      <c r="C30" s="120" t="s">
        <v>815</v>
      </c>
      <c r="D30" s="120" t="s">
        <v>27</v>
      </c>
      <c r="E30" s="121">
        <v>83121.0</v>
      </c>
      <c r="F30" s="119" t="s">
        <v>219</v>
      </c>
      <c r="G30" s="122">
        <v>2026.0</v>
      </c>
      <c r="H30" s="119" t="s">
        <v>825</v>
      </c>
      <c r="I30" s="189"/>
    </row>
    <row r="31" ht="21.75" customHeight="1">
      <c r="A31" s="109" t="s">
        <v>837</v>
      </c>
      <c r="B31" s="111" t="s">
        <v>562</v>
      </c>
      <c r="C31" s="124" t="s">
        <v>815</v>
      </c>
      <c r="D31" s="124" t="s">
        <v>19</v>
      </c>
      <c r="E31" s="113">
        <v>33000.0</v>
      </c>
      <c r="F31" s="111" t="s">
        <v>226</v>
      </c>
      <c r="G31" s="115">
        <v>2026.0</v>
      </c>
      <c r="H31" s="111" t="s">
        <v>825</v>
      </c>
      <c r="I31" s="188"/>
    </row>
    <row r="32" ht="21.75" customHeight="1">
      <c r="A32" s="117" t="s">
        <v>838</v>
      </c>
      <c r="B32" s="119" t="s">
        <v>562</v>
      </c>
      <c r="C32" s="120" t="s">
        <v>815</v>
      </c>
      <c r="D32" s="120" t="s">
        <v>23</v>
      </c>
      <c r="E32" s="121">
        <v>120000.0</v>
      </c>
      <c r="F32" s="119" t="s">
        <v>226</v>
      </c>
      <c r="G32" s="122">
        <v>2026.0</v>
      </c>
      <c r="H32" s="119" t="s">
        <v>825</v>
      </c>
      <c r="I32" s="189"/>
    </row>
    <row r="33" ht="21.75" customHeight="1">
      <c r="A33" s="109" t="s">
        <v>839</v>
      </c>
      <c r="B33" s="111" t="s">
        <v>562</v>
      </c>
      <c r="C33" s="124" t="s">
        <v>815</v>
      </c>
      <c r="D33" s="124" t="s">
        <v>27</v>
      </c>
      <c r="E33" s="113">
        <v>83121.0</v>
      </c>
      <c r="F33" s="111" t="s">
        <v>226</v>
      </c>
      <c r="G33" s="115">
        <v>2026.0</v>
      </c>
      <c r="H33" s="111" t="s">
        <v>825</v>
      </c>
      <c r="I33" s="188"/>
    </row>
    <row r="34" ht="21.75" customHeight="1">
      <c r="A34" s="117" t="s">
        <v>840</v>
      </c>
      <c r="B34" s="119" t="s">
        <v>526</v>
      </c>
      <c r="C34" s="120" t="s">
        <v>815</v>
      </c>
      <c r="D34" s="120" t="s">
        <v>19</v>
      </c>
      <c r="E34" s="121">
        <v>33000.0</v>
      </c>
      <c r="F34" s="119" t="s">
        <v>233</v>
      </c>
      <c r="G34" s="122">
        <v>2026.0</v>
      </c>
      <c r="H34" s="119" t="s">
        <v>825</v>
      </c>
      <c r="I34" s="189"/>
    </row>
    <row r="35" ht="21.75" customHeight="1">
      <c r="A35" s="109" t="s">
        <v>841</v>
      </c>
      <c r="B35" s="111" t="s">
        <v>526</v>
      </c>
      <c r="C35" s="124" t="s">
        <v>815</v>
      </c>
      <c r="D35" s="124" t="s">
        <v>23</v>
      </c>
      <c r="E35" s="113">
        <v>120000.0</v>
      </c>
      <c r="F35" s="111" t="s">
        <v>233</v>
      </c>
      <c r="G35" s="115">
        <v>2026.0</v>
      </c>
      <c r="H35" s="111" t="s">
        <v>825</v>
      </c>
      <c r="I35" s="188"/>
    </row>
    <row r="36" ht="21.75" customHeight="1">
      <c r="A36" s="117" t="s">
        <v>842</v>
      </c>
      <c r="B36" s="119" t="s">
        <v>526</v>
      </c>
      <c r="C36" s="120" t="s">
        <v>815</v>
      </c>
      <c r="D36" s="120" t="s">
        <v>27</v>
      </c>
      <c r="E36" s="121">
        <v>83121.0</v>
      </c>
      <c r="F36" s="119" t="s">
        <v>233</v>
      </c>
      <c r="G36" s="122">
        <v>2026.0</v>
      </c>
      <c r="H36" s="119" t="s">
        <v>825</v>
      </c>
      <c r="I36" s="189"/>
    </row>
    <row r="37" ht="21.75" customHeight="1">
      <c r="A37" s="109" t="s">
        <v>843</v>
      </c>
      <c r="B37" s="111" t="s">
        <v>517</v>
      </c>
      <c r="C37" s="124" t="s">
        <v>815</v>
      </c>
      <c r="D37" s="124" t="s">
        <v>19</v>
      </c>
      <c r="E37" s="113">
        <v>33000.0</v>
      </c>
      <c r="F37" s="111" t="s">
        <v>233</v>
      </c>
      <c r="G37" s="115">
        <v>2026.0</v>
      </c>
      <c r="H37" s="111" t="s">
        <v>825</v>
      </c>
      <c r="I37" s="188"/>
    </row>
    <row r="38" ht="21.75" customHeight="1">
      <c r="A38" s="117" t="s">
        <v>844</v>
      </c>
      <c r="B38" s="119" t="s">
        <v>517</v>
      </c>
      <c r="C38" s="120" t="s">
        <v>815</v>
      </c>
      <c r="D38" s="120" t="s">
        <v>23</v>
      </c>
      <c r="E38" s="121">
        <v>120000.0</v>
      </c>
      <c r="F38" s="119" t="s">
        <v>233</v>
      </c>
      <c r="G38" s="122">
        <v>2026.0</v>
      </c>
      <c r="H38" s="119" t="s">
        <v>825</v>
      </c>
      <c r="I38" s="189"/>
    </row>
    <row r="39" ht="21.75" customHeight="1">
      <c r="A39" s="109" t="s">
        <v>845</v>
      </c>
      <c r="B39" s="111" t="s">
        <v>517</v>
      </c>
      <c r="C39" s="124" t="s">
        <v>815</v>
      </c>
      <c r="D39" s="124" t="s">
        <v>27</v>
      </c>
      <c r="E39" s="113">
        <v>83121.0</v>
      </c>
      <c r="F39" s="111" t="s">
        <v>233</v>
      </c>
      <c r="G39" s="115">
        <v>2026.0</v>
      </c>
      <c r="H39" s="111" t="s">
        <v>825</v>
      </c>
      <c r="I39" s="188"/>
    </row>
    <row r="40" ht="21.75" customHeight="1">
      <c r="A40" s="117" t="s">
        <v>846</v>
      </c>
      <c r="B40" s="119" t="s">
        <v>670</v>
      </c>
      <c r="C40" s="120" t="s">
        <v>815</v>
      </c>
      <c r="D40" s="120" t="s">
        <v>19</v>
      </c>
      <c r="E40" s="121">
        <v>33000.0</v>
      </c>
      <c r="F40" s="119" t="s">
        <v>197</v>
      </c>
      <c r="G40" s="122">
        <v>2026.0</v>
      </c>
      <c r="H40" s="119" t="s">
        <v>847</v>
      </c>
      <c r="I40" s="189"/>
    </row>
    <row r="41" ht="21.75" customHeight="1">
      <c r="A41" s="109" t="s">
        <v>848</v>
      </c>
      <c r="B41" s="111" t="s">
        <v>670</v>
      </c>
      <c r="C41" s="124" t="s">
        <v>815</v>
      </c>
      <c r="D41" s="124" t="s">
        <v>23</v>
      </c>
      <c r="E41" s="113">
        <v>120000.0</v>
      </c>
      <c r="F41" s="111" t="s">
        <v>197</v>
      </c>
      <c r="G41" s="115">
        <v>2026.0</v>
      </c>
      <c r="H41" s="111" t="s">
        <v>849</v>
      </c>
      <c r="I41" s="188"/>
    </row>
    <row r="42" ht="21.75" customHeight="1">
      <c r="A42" s="117" t="s">
        <v>850</v>
      </c>
      <c r="B42" s="119" t="s">
        <v>670</v>
      </c>
      <c r="C42" s="120" t="s">
        <v>815</v>
      </c>
      <c r="D42" s="120" t="s">
        <v>27</v>
      </c>
      <c r="E42" s="121">
        <v>40220.0</v>
      </c>
      <c r="F42" s="119" t="s">
        <v>197</v>
      </c>
      <c r="G42" s="122">
        <v>2026.0</v>
      </c>
      <c r="H42" s="119" t="s">
        <v>851</v>
      </c>
      <c r="I42" s="189"/>
    </row>
    <row r="43" ht="21.75" customHeight="1">
      <c r="A43" s="109" t="s">
        <v>852</v>
      </c>
      <c r="B43" s="111" t="s">
        <v>685</v>
      </c>
      <c r="C43" s="124" t="s">
        <v>815</v>
      </c>
      <c r="D43" s="124" t="s">
        <v>19</v>
      </c>
      <c r="E43" s="113">
        <v>33000.0</v>
      </c>
      <c r="F43" s="111" t="s">
        <v>197</v>
      </c>
      <c r="G43" s="115">
        <v>2026.0</v>
      </c>
      <c r="H43" s="111" t="s">
        <v>853</v>
      </c>
      <c r="I43" s="188"/>
    </row>
    <row r="44" ht="21.75" customHeight="1">
      <c r="A44" s="117" t="s">
        <v>854</v>
      </c>
      <c r="B44" s="119" t="s">
        <v>685</v>
      </c>
      <c r="C44" s="120" t="s">
        <v>815</v>
      </c>
      <c r="D44" s="120" t="s">
        <v>23</v>
      </c>
      <c r="E44" s="121">
        <v>120000.0</v>
      </c>
      <c r="F44" s="119" t="s">
        <v>197</v>
      </c>
      <c r="G44" s="122">
        <v>2026.0</v>
      </c>
      <c r="H44" s="119" t="s">
        <v>855</v>
      </c>
      <c r="I44" s="189"/>
    </row>
    <row r="45" ht="21.75" customHeight="1">
      <c r="A45" s="109" t="s">
        <v>856</v>
      </c>
      <c r="B45" s="111" t="s">
        <v>685</v>
      </c>
      <c r="C45" s="124" t="s">
        <v>815</v>
      </c>
      <c r="D45" s="124" t="s">
        <v>27</v>
      </c>
      <c r="E45" s="113">
        <v>34913.0</v>
      </c>
      <c r="F45" s="111" t="s">
        <v>197</v>
      </c>
      <c r="G45" s="115">
        <v>2026.0</v>
      </c>
      <c r="H45" s="111" t="s">
        <v>857</v>
      </c>
      <c r="I45" s="188"/>
    </row>
    <row r="46" ht="21.75" customHeight="1">
      <c r="A46" s="117" t="s">
        <v>858</v>
      </c>
      <c r="B46" s="119" t="s">
        <v>648</v>
      </c>
      <c r="C46" s="120" t="s">
        <v>815</v>
      </c>
      <c r="D46" s="120" t="s">
        <v>19</v>
      </c>
      <c r="E46" s="121">
        <v>33000.0</v>
      </c>
      <c r="F46" s="119" t="s">
        <v>205</v>
      </c>
      <c r="G46" s="122">
        <v>2026.0</v>
      </c>
      <c r="H46" s="119" t="s">
        <v>859</v>
      </c>
      <c r="I46" s="189"/>
    </row>
    <row r="47" ht="21.75" customHeight="1">
      <c r="A47" s="109" t="s">
        <v>860</v>
      </c>
      <c r="B47" s="111" t="s">
        <v>648</v>
      </c>
      <c r="C47" s="124" t="s">
        <v>815</v>
      </c>
      <c r="D47" s="124" t="s">
        <v>23</v>
      </c>
      <c r="E47" s="113">
        <v>120000.0</v>
      </c>
      <c r="F47" s="111" t="s">
        <v>205</v>
      </c>
      <c r="G47" s="115">
        <v>2026.0</v>
      </c>
      <c r="H47" s="111" t="s">
        <v>861</v>
      </c>
      <c r="I47" s="188"/>
    </row>
    <row r="48" ht="21.75" customHeight="1">
      <c r="A48" s="117" t="s">
        <v>862</v>
      </c>
      <c r="B48" s="119" t="s">
        <v>648</v>
      </c>
      <c r="C48" s="120" t="s">
        <v>815</v>
      </c>
      <c r="D48" s="120" t="s">
        <v>27</v>
      </c>
      <c r="E48" s="121">
        <v>37567.0</v>
      </c>
      <c r="F48" s="119" t="s">
        <v>205</v>
      </c>
      <c r="G48" s="122">
        <v>2026.0</v>
      </c>
      <c r="H48" s="119" t="s">
        <v>863</v>
      </c>
      <c r="I48" s="189"/>
    </row>
    <row r="49" ht="21.75" customHeight="1">
      <c r="A49" s="109" t="s">
        <v>864</v>
      </c>
      <c r="B49" s="111" t="s">
        <v>657</v>
      </c>
      <c r="C49" s="124" t="s">
        <v>815</v>
      </c>
      <c r="D49" s="124" t="s">
        <v>19</v>
      </c>
      <c r="E49" s="113">
        <v>33000.0</v>
      </c>
      <c r="F49" s="111" t="s">
        <v>205</v>
      </c>
      <c r="G49" s="115">
        <v>2026.0</v>
      </c>
      <c r="H49" s="111" t="s">
        <v>865</v>
      </c>
      <c r="I49" s="188"/>
    </row>
    <row r="50" ht="21.75" customHeight="1">
      <c r="A50" s="117" t="s">
        <v>866</v>
      </c>
      <c r="B50" s="119" t="s">
        <v>657</v>
      </c>
      <c r="C50" s="120" t="s">
        <v>815</v>
      </c>
      <c r="D50" s="120" t="s">
        <v>23</v>
      </c>
      <c r="E50" s="121">
        <v>120000.0</v>
      </c>
      <c r="F50" s="119" t="s">
        <v>205</v>
      </c>
      <c r="G50" s="122">
        <v>2026.0</v>
      </c>
      <c r="H50" s="119" t="s">
        <v>867</v>
      </c>
      <c r="I50" s="189"/>
    </row>
    <row r="51" ht="21.75" customHeight="1">
      <c r="A51" s="109" t="s">
        <v>868</v>
      </c>
      <c r="B51" s="111" t="s">
        <v>657</v>
      </c>
      <c r="C51" s="124" t="s">
        <v>815</v>
      </c>
      <c r="D51" s="124" t="s">
        <v>27</v>
      </c>
      <c r="E51" s="113">
        <v>37567.0</v>
      </c>
      <c r="F51" s="111" t="s">
        <v>205</v>
      </c>
      <c r="G51" s="115">
        <v>2026.0</v>
      </c>
      <c r="H51" s="111" t="s">
        <v>869</v>
      </c>
      <c r="I51" s="188"/>
    </row>
    <row r="52" ht="21.75" customHeight="1">
      <c r="A52" s="117" t="s">
        <v>870</v>
      </c>
      <c r="B52" s="119" t="s">
        <v>551</v>
      </c>
      <c r="C52" s="120" t="s">
        <v>815</v>
      </c>
      <c r="D52" s="120" t="s">
        <v>19</v>
      </c>
      <c r="E52" s="121">
        <v>33000.0</v>
      </c>
      <c r="F52" s="119" t="s">
        <v>226</v>
      </c>
      <c r="G52" s="122">
        <v>2026.0</v>
      </c>
      <c r="H52" s="119" t="s">
        <v>871</v>
      </c>
      <c r="I52" s="189"/>
    </row>
    <row r="53" ht="21.75" customHeight="1">
      <c r="A53" s="109" t="s">
        <v>872</v>
      </c>
      <c r="B53" s="111" t="s">
        <v>551</v>
      </c>
      <c r="C53" s="124" t="s">
        <v>815</v>
      </c>
      <c r="D53" s="124" t="s">
        <v>23</v>
      </c>
      <c r="E53" s="113">
        <v>120000.0</v>
      </c>
      <c r="F53" s="111" t="s">
        <v>226</v>
      </c>
      <c r="G53" s="115">
        <v>2026.0</v>
      </c>
      <c r="H53" s="111" t="s">
        <v>873</v>
      </c>
      <c r="I53" s="188"/>
    </row>
    <row r="54" ht="21.75" customHeight="1">
      <c r="A54" s="117" t="s">
        <v>874</v>
      </c>
      <c r="B54" s="119" t="s">
        <v>551</v>
      </c>
      <c r="C54" s="120" t="s">
        <v>815</v>
      </c>
      <c r="D54" s="120" t="s">
        <v>27</v>
      </c>
      <c r="E54" s="121">
        <v>37567.0</v>
      </c>
      <c r="F54" s="119" t="s">
        <v>226</v>
      </c>
      <c r="G54" s="122">
        <v>2026.0</v>
      </c>
      <c r="H54" s="119" t="s">
        <v>875</v>
      </c>
      <c r="I54" s="189"/>
    </row>
    <row r="55" ht="21.75" customHeight="1">
      <c r="A55" s="109" t="s">
        <v>876</v>
      </c>
      <c r="B55" s="111" t="s">
        <v>503</v>
      </c>
      <c r="C55" s="124" t="s">
        <v>815</v>
      </c>
      <c r="D55" s="124" t="s">
        <v>19</v>
      </c>
      <c r="E55" s="113">
        <v>33000.0</v>
      </c>
      <c r="F55" s="111" t="s">
        <v>240</v>
      </c>
      <c r="G55" s="115">
        <v>2026.0</v>
      </c>
      <c r="H55" s="111" t="s">
        <v>877</v>
      </c>
      <c r="I55" s="188"/>
    </row>
    <row r="56" ht="21.75" customHeight="1">
      <c r="A56" s="117" t="s">
        <v>878</v>
      </c>
      <c r="B56" s="119" t="s">
        <v>503</v>
      </c>
      <c r="C56" s="120" t="s">
        <v>815</v>
      </c>
      <c r="D56" s="120" t="s">
        <v>23</v>
      </c>
      <c r="E56" s="121">
        <v>120000.0</v>
      </c>
      <c r="F56" s="119" t="s">
        <v>240</v>
      </c>
      <c r="G56" s="122">
        <v>2026.0</v>
      </c>
      <c r="H56" s="119" t="s">
        <v>879</v>
      </c>
      <c r="I56" s="189"/>
    </row>
    <row r="57" ht="21.75" customHeight="1">
      <c r="A57" s="109" t="s">
        <v>880</v>
      </c>
      <c r="B57" s="111" t="s">
        <v>503</v>
      </c>
      <c r="C57" s="124" t="s">
        <v>815</v>
      </c>
      <c r="D57" s="124" t="s">
        <v>27</v>
      </c>
      <c r="E57" s="113">
        <v>37567.0</v>
      </c>
      <c r="F57" s="111" t="s">
        <v>240</v>
      </c>
      <c r="G57" s="115">
        <v>2026.0</v>
      </c>
      <c r="H57" s="111" t="s">
        <v>881</v>
      </c>
      <c r="I57" s="188"/>
    </row>
    <row r="58" ht="21.75" customHeight="1">
      <c r="A58" s="117" t="s">
        <v>882</v>
      </c>
      <c r="B58" s="119" t="s">
        <v>490</v>
      </c>
      <c r="C58" s="120" t="s">
        <v>815</v>
      </c>
      <c r="D58" s="120" t="s">
        <v>19</v>
      </c>
      <c r="E58" s="121">
        <v>33000.0</v>
      </c>
      <c r="F58" s="119" t="s">
        <v>240</v>
      </c>
      <c r="G58" s="122">
        <v>2026.0</v>
      </c>
      <c r="H58" s="119" t="s">
        <v>883</v>
      </c>
      <c r="I58" s="189"/>
    </row>
    <row r="59" ht="21.75" customHeight="1">
      <c r="A59" s="109" t="s">
        <v>884</v>
      </c>
      <c r="B59" s="111" t="s">
        <v>490</v>
      </c>
      <c r="C59" s="124" t="s">
        <v>815</v>
      </c>
      <c r="D59" s="124" t="s">
        <v>23</v>
      </c>
      <c r="E59" s="113">
        <v>120000.0</v>
      </c>
      <c r="F59" s="111" t="s">
        <v>240</v>
      </c>
      <c r="G59" s="115">
        <v>2026.0</v>
      </c>
      <c r="H59" s="111" t="s">
        <v>885</v>
      </c>
      <c r="I59" s="188"/>
    </row>
    <row r="60" ht="21.75" customHeight="1">
      <c r="A60" s="117" t="s">
        <v>886</v>
      </c>
      <c r="B60" s="119" t="s">
        <v>490</v>
      </c>
      <c r="C60" s="120" t="s">
        <v>815</v>
      </c>
      <c r="D60" s="120" t="s">
        <v>27</v>
      </c>
      <c r="E60" s="121">
        <v>37567.0</v>
      </c>
      <c r="F60" s="119" t="s">
        <v>240</v>
      </c>
      <c r="G60" s="122">
        <v>2026.0</v>
      </c>
      <c r="H60" s="119" t="s">
        <v>887</v>
      </c>
      <c r="I60" s="189"/>
    </row>
    <row r="61" ht="21.75" customHeight="1">
      <c r="A61" s="109" t="s">
        <v>888</v>
      </c>
      <c r="B61" s="111" t="s">
        <v>395</v>
      </c>
      <c r="C61" s="124" t="s">
        <v>815</v>
      </c>
      <c r="D61" s="124" t="s">
        <v>19</v>
      </c>
      <c r="E61" s="113">
        <v>33000.0</v>
      </c>
      <c r="F61" s="111" t="s">
        <v>247</v>
      </c>
      <c r="G61" s="115">
        <v>2026.0</v>
      </c>
      <c r="H61" s="111" t="s">
        <v>889</v>
      </c>
      <c r="I61" s="188"/>
    </row>
    <row r="62" ht="21.75" customHeight="1">
      <c r="A62" s="117" t="s">
        <v>890</v>
      </c>
      <c r="B62" s="119" t="s">
        <v>395</v>
      </c>
      <c r="C62" s="120" t="s">
        <v>815</v>
      </c>
      <c r="D62" s="120" t="s">
        <v>23</v>
      </c>
      <c r="E62" s="121">
        <v>120000.0</v>
      </c>
      <c r="F62" s="119" t="s">
        <v>247</v>
      </c>
      <c r="G62" s="122">
        <v>2026.0</v>
      </c>
      <c r="H62" s="119" t="s">
        <v>891</v>
      </c>
      <c r="I62" s="189"/>
    </row>
    <row r="63" ht="21.75" customHeight="1">
      <c r="A63" s="109" t="s">
        <v>892</v>
      </c>
      <c r="B63" s="111" t="s">
        <v>395</v>
      </c>
      <c r="C63" s="124" t="s">
        <v>815</v>
      </c>
      <c r="D63" s="124" t="s">
        <v>27</v>
      </c>
      <c r="E63" s="113">
        <v>37567.0</v>
      </c>
      <c r="F63" s="111" t="s">
        <v>247</v>
      </c>
      <c r="G63" s="115">
        <v>2026.0</v>
      </c>
      <c r="H63" s="111" t="s">
        <v>893</v>
      </c>
      <c r="I63" s="188"/>
    </row>
    <row r="64" ht="21.75" customHeight="1">
      <c r="A64" s="117" t="s">
        <v>894</v>
      </c>
      <c r="B64" s="119" t="s">
        <v>319</v>
      </c>
      <c r="C64" s="120" t="s">
        <v>815</v>
      </c>
      <c r="D64" s="120" t="s">
        <v>19</v>
      </c>
      <c r="E64" s="121">
        <v>33000.0</v>
      </c>
      <c r="F64" s="119" t="s">
        <v>175</v>
      </c>
      <c r="G64" s="122">
        <v>2026.0</v>
      </c>
      <c r="H64" s="119" t="s">
        <v>895</v>
      </c>
      <c r="I64" s="189" t="s">
        <v>896</v>
      </c>
    </row>
    <row r="65" ht="21.75" customHeight="1">
      <c r="A65" s="109" t="s">
        <v>897</v>
      </c>
      <c r="B65" s="111" t="s">
        <v>319</v>
      </c>
      <c r="C65" s="124" t="s">
        <v>815</v>
      </c>
      <c r="D65" s="124" t="s">
        <v>23</v>
      </c>
      <c r="E65" s="113">
        <v>120000.0</v>
      </c>
      <c r="F65" s="111" t="s">
        <v>175</v>
      </c>
      <c r="G65" s="115">
        <v>2026.0</v>
      </c>
      <c r="H65" s="111" t="s">
        <v>898</v>
      </c>
      <c r="I65" s="188" t="s">
        <v>896</v>
      </c>
    </row>
    <row r="66" ht="21.75" customHeight="1">
      <c r="A66" s="117" t="s">
        <v>899</v>
      </c>
      <c r="B66" s="119" t="s">
        <v>319</v>
      </c>
      <c r="C66" s="120" t="s">
        <v>815</v>
      </c>
      <c r="D66" s="120" t="s">
        <v>27</v>
      </c>
      <c r="E66" s="121">
        <v>37567.0</v>
      </c>
      <c r="F66" s="119" t="s">
        <v>175</v>
      </c>
      <c r="G66" s="122">
        <v>2026.0</v>
      </c>
      <c r="H66" s="119" t="s">
        <v>900</v>
      </c>
      <c r="I66" s="189" t="s">
        <v>896</v>
      </c>
    </row>
    <row r="67" ht="21.75" customHeight="1">
      <c r="A67" s="109" t="s">
        <v>901</v>
      </c>
      <c r="B67" s="111" t="s">
        <v>319</v>
      </c>
      <c r="C67" s="124" t="s">
        <v>815</v>
      </c>
      <c r="D67" s="124" t="s">
        <v>902</v>
      </c>
      <c r="E67" s="113">
        <v>45554.0</v>
      </c>
      <c r="F67" s="111" t="s">
        <v>175</v>
      </c>
      <c r="G67" s="115">
        <v>2026.0</v>
      </c>
      <c r="H67" s="111" t="s">
        <v>903</v>
      </c>
      <c r="I67" s="188" t="s">
        <v>896</v>
      </c>
    </row>
    <row r="68" ht="21.75" customHeight="1">
      <c r="A68" s="117" t="s">
        <v>904</v>
      </c>
      <c r="B68" s="190">
        <v>46295.0</v>
      </c>
      <c r="C68" s="120" t="s">
        <v>815</v>
      </c>
      <c r="D68" s="120" t="s">
        <v>27</v>
      </c>
      <c r="E68" s="121">
        <v>37567.0</v>
      </c>
      <c r="F68" s="119" t="s">
        <v>175</v>
      </c>
      <c r="G68" s="122">
        <v>2026.0</v>
      </c>
      <c r="H68" s="119" t="s">
        <v>905</v>
      </c>
      <c r="I68" s="189"/>
    </row>
    <row r="69" ht="21.75" customHeight="1">
      <c r="A69" s="109" t="s">
        <v>906</v>
      </c>
      <c r="B69" s="191">
        <v>46295.0</v>
      </c>
      <c r="C69" s="124" t="s">
        <v>815</v>
      </c>
      <c r="D69" s="124" t="s">
        <v>822</v>
      </c>
      <c r="E69" s="113">
        <v>45554.0</v>
      </c>
      <c r="F69" s="111" t="s">
        <v>175</v>
      </c>
      <c r="G69" s="115">
        <v>2026.0</v>
      </c>
      <c r="H69" s="111" t="s">
        <v>907</v>
      </c>
      <c r="I69" s="188"/>
    </row>
    <row r="70" ht="21.75" customHeight="1">
      <c r="A70" s="117" t="s">
        <v>908</v>
      </c>
      <c r="B70" s="190">
        <v>46295.0</v>
      </c>
      <c r="C70" s="120" t="s">
        <v>815</v>
      </c>
      <c r="D70" s="120" t="s">
        <v>19</v>
      </c>
      <c r="E70" s="121">
        <v>33000.0</v>
      </c>
      <c r="F70" s="119" t="s">
        <v>175</v>
      </c>
      <c r="G70" s="122">
        <v>2026.0</v>
      </c>
      <c r="H70" s="119" t="s">
        <v>909</v>
      </c>
      <c r="I70" s="189"/>
    </row>
    <row r="71" ht="21.75" customHeight="1">
      <c r="A71" s="109" t="s">
        <v>910</v>
      </c>
      <c r="B71" s="191">
        <v>46295.0</v>
      </c>
      <c r="C71" s="124" t="s">
        <v>815</v>
      </c>
      <c r="D71" s="124" t="s">
        <v>23</v>
      </c>
      <c r="E71" s="113">
        <v>120000.0</v>
      </c>
      <c r="F71" s="111" t="s">
        <v>175</v>
      </c>
      <c r="G71" s="115">
        <v>2026.0</v>
      </c>
      <c r="H71" s="111" t="s">
        <v>911</v>
      </c>
      <c r="I71" s="188"/>
    </row>
    <row r="72" ht="21.75" customHeight="1">
      <c r="A72" s="117" t="s">
        <v>912</v>
      </c>
      <c r="B72" s="190">
        <v>46295.0</v>
      </c>
      <c r="C72" s="120" t="s">
        <v>815</v>
      </c>
      <c r="D72" s="120" t="s">
        <v>902</v>
      </c>
      <c r="E72" s="121">
        <v>45554.0</v>
      </c>
      <c r="F72" s="119" t="s">
        <v>175</v>
      </c>
      <c r="G72" s="122">
        <v>2026.0</v>
      </c>
      <c r="H72" s="119" t="s">
        <v>913</v>
      </c>
      <c r="I72" s="189"/>
    </row>
    <row r="73" ht="21.75" customHeight="1">
      <c r="A73" s="109"/>
      <c r="B73" s="111"/>
      <c r="C73" s="124"/>
      <c r="D73" s="124"/>
      <c r="E73" s="113"/>
      <c r="F73" s="111"/>
      <c r="G73" s="115"/>
      <c r="H73" s="111"/>
      <c r="I73" s="188"/>
    </row>
    <row r="74" ht="21.75" customHeight="1">
      <c r="A74" s="127"/>
      <c r="B74" s="73"/>
      <c r="C74" s="129"/>
      <c r="D74" s="129"/>
      <c r="E74" s="52"/>
      <c r="F74" s="73"/>
      <c r="G74" s="130"/>
      <c r="H74" s="73"/>
      <c r="I74" s="147"/>
    </row>
    <row r="75" ht="21.75" customHeight="1">
      <c r="A75" s="142"/>
      <c r="B75" s="68"/>
      <c r="C75" s="145"/>
      <c r="D75" s="145"/>
      <c r="E75" s="43"/>
      <c r="F75" s="68"/>
      <c r="G75" s="143"/>
      <c r="H75" s="68"/>
      <c r="I75" s="146"/>
    </row>
    <row r="76" ht="21.75" customHeight="1">
      <c r="A76" s="127"/>
      <c r="B76" s="73"/>
      <c r="C76" s="129"/>
      <c r="D76" s="129"/>
      <c r="E76" s="52"/>
      <c r="F76" s="73"/>
      <c r="G76" s="130"/>
      <c r="H76" s="73"/>
      <c r="I76" s="147"/>
    </row>
    <row r="77" ht="21.75" customHeight="1">
      <c r="A77" s="142"/>
      <c r="B77" s="68"/>
      <c r="C77" s="145"/>
      <c r="D77" s="145"/>
      <c r="E77" s="43"/>
      <c r="F77" s="68"/>
      <c r="G77" s="143"/>
      <c r="H77" s="68"/>
      <c r="I77" s="146"/>
    </row>
    <row r="78" ht="21.75" customHeight="1">
      <c r="A78" s="127"/>
      <c r="B78" s="73"/>
      <c r="C78" s="129"/>
      <c r="D78" s="129"/>
      <c r="E78" s="52"/>
      <c r="F78" s="73"/>
      <c r="G78" s="130"/>
      <c r="H78" s="73"/>
      <c r="I78" s="147"/>
    </row>
    <row r="79" ht="21.75" customHeight="1">
      <c r="A79" s="142"/>
      <c r="B79" s="68"/>
      <c r="C79" s="145"/>
      <c r="D79" s="145"/>
      <c r="E79" s="43"/>
      <c r="F79" s="68"/>
      <c r="G79" s="143"/>
      <c r="H79" s="68"/>
      <c r="I79" s="146"/>
    </row>
    <row r="80" ht="21.75" customHeight="1">
      <c r="A80" s="127"/>
      <c r="B80" s="73"/>
      <c r="C80" s="129"/>
      <c r="D80" s="129"/>
      <c r="E80" s="52"/>
      <c r="F80" s="73"/>
      <c r="G80" s="130"/>
      <c r="H80" s="73"/>
      <c r="I80" s="147"/>
    </row>
    <row r="81" ht="21.75" customHeight="1">
      <c r="A81" s="142"/>
      <c r="B81" s="68"/>
      <c r="C81" s="145"/>
      <c r="D81" s="145"/>
      <c r="E81" s="43"/>
      <c r="F81" s="68"/>
      <c r="G81" s="143"/>
      <c r="H81" s="68"/>
      <c r="I81" s="146"/>
    </row>
    <row r="82" ht="21.75" customHeight="1">
      <c r="A82" s="127"/>
      <c r="B82" s="73"/>
      <c r="C82" s="129"/>
      <c r="D82" s="129"/>
      <c r="E82" s="52"/>
      <c r="F82" s="73"/>
      <c r="G82" s="130"/>
      <c r="H82" s="73"/>
      <c r="I82" s="147"/>
    </row>
    <row r="83" ht="21.75" customHeight="1">
      <c r="A83" s="142"/>
      <c r="B83" s="68"/>
      <c r="C83" s="145"/>
      <c r="D83" s="145"/>
      <c r="E83" s="43"/>
      <c r="F83" s="68"/>
      <c r="G83" s="143"/>
      <c r="H83" s="68"/>
      <c r="I83" s="146"/>
    </row>
    <row r="84" ht="21.75" customHeight="1">
      <c r="A84" s="127"/>
      <c r="B84" s="73"/>
      <c r="C84" s="129"/>
      <c r="D84" s="129"/>
      <c r="E84" s="52"/>
      <c r="F84" s="73"/>
      <c r="G84" s="130"/>
      <c r="H84" s="73"/>
      <c r="I84" s="147"/>
    </row>
    <row r="85" ht="21.75" customHeight="1">
      <c r="A85" s="142"/>
      <c r="B85" s="68"/>
      <c r="C85" s="145"/>
      <c r="D85" s="145"/>
      <c r="E85" s="43"/>
      <c r="F85" s="68"/>
      <c r="G85" s="143"/>
      <c r="H85" s="68"/>
      <c r="I85" s="146"/>
    </row>
    <row r="86" ht="21.75" customHeight="1">
      <c r="A86" s="127"/>
      <c r="B86" s="73"/>
      <c r="C86" s="129"/>
      <c r="D86" s="129"/>
      <c r="E86" s="52"/>
      <c r="F86" s="73"/>
      <c r="G86" s="130"/>
      <c r="H86" s="73"/>
      <c r="I86" s="147"/>
    </row>
    <row r="87" ht="21.75" customHeight="1">
      <c r="A87" s="132"/>
      <c r="B87" s="83"/>
      <c r="C87" s="134"/>
      <c r="D87" s="134"/>
      <c r="E87" s="135"/>
      <c r="F87" s="83"/>
      <c r="G87" s="136"/>
      <c r="H87" s="83"/>
      <c r="I87" s="192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I1"/>
    <mergeCell ref="A2:I2"/>
    <mergeCell ref="A4:B4"/>
    <mergeCell ref="C4:D4"/>
    <mergeCell ref="A5:B5"/>
    <mergeCell ref="C5:D5"/>
  </mergeCell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9.0"/>
    <col customWidth="1" min="2" max="2" width="24.0"/>
    <col customWidth="1" min="3" max="4" width="19.0"/>
    <col customWidth="1" min="5" max="6" width="20.0"/>
    <col customWidth="1" min="7" max="7" width="19.0"/>
    <col customWidth="1" min="8" max="8" width="22.0"/>
    <col customWidth="1" min="9" max="9" width="24.0"/>
    <col customWidth="1" min="10" max="11" width="19.0"/>
    <col customWidth="1" min="12" max="12" width="23.0"/>
  </cols>
  <sheetData>
    <row r="1" ht="39.75" customHeight="1">
      <c r="A1" s="2" t="str">
        <f>"📌 CONTROL DE COMPROMISOS FIJOS — " &amp; UPPER(PANEL!L2) &amp; " " &amp; PANEL!I2</f>
        <v>📌 CONTROL DE COMPROMISOS FIJOS — OCTUBRE 2026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4.0" customHeight="1">
      <c r="A2" s="9" t="s">
        <v>914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ht="9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ht="19.5" customHeight="1">
      <c r="A4" s="20" t="s">
        <v>915</v>
      </c>
      <c r="B4" s="193"/>
      <c r="C4" s="21"/>
      <c r="D4" s="11" t="s">
        <v>916</v>
      </c>
      <c r="E4" s="12"/>
      <c r="F4" s="13"/>
      <c r="G4" s="14" t="s">
        <v>917</v>
      </c>
      <c r="H4" s="15"/>
      <c r="I4" s="16"/>
      <c r="J4" s="17" t="s">
        <v>918</v>
      </c>
      <c r="K4" s="18"/>
      <c r="L4" s="19"/>
    </row>
    <row r="5" ht="33.75" customHeight="1">
      <c r="A5" s="27">
        <f>SUM(E10:E26)</f>
        <v>2611000</v>
      </c>
      <c r="B5" s="23"/>
      <c r="C5" s="24"/>
      <c r="D5" s="22">
        <f>SUM(F10:F26)</f>
        <v>54000</v>
      </c>
      <c r="E5" s="23"/>
      <c r="F5" s="24"/>
      <c r="G5" s="25">
        <f>SUM(I10:I26)</f>
        <v>2557000</v>
      </c>
      <c r="H5" s="23"/>
      <c r="I5" s="24"/>
      <c r="J5" s="26">
        <f>SUMIFS(I10:I26, D10:D26, "&lt;=15")</f>
        <v>1332000</v>
      </c>
      <c r="K5" s="23"/>
      <c r="L5" s="24"/>
    </row>
    <row r="6" ht="9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</row>
    <row r="7" ht="7.5" customHeight="1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</row>
    <row r="8" ht="7.5" customHeight="1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</row>
    <row r="9" ht="27.75" customHeight="1">
      <c r="A9" s="105" t="s">
        <v>121</v>
      </c>
      <c r="B9" s="106" t="s">
        <v>919</v>
      </c>
      <c r="C9" s="106" t="s">
        <v>41</v>
      </c>
      <c r="D9" s="106" t="s">
        <v>920</v>
      </c>
      <c r="E9" s="106" t="s">
        <v>921</v>
      </c>
      <c r="F9" s="106" t="s">
        <v>922</v>
      </c>
      <c r="G9" s="106" t="s">
        <v>95</v>
      </c>
      <c r="H9" s="106" t="s">
        <v>923</v>
      </c>
      <c r="I9" s="106" t="s">
        <v>924</v>
      </c>
      <c r="J9" s="106" t="s">
        <v>925</v>
      </c>
      <c r="K9" s="106" t="s">
        <v>926</v>
      </c>
      <c r="L9" s="173" t="s">
        <v>927</v>
      </c>
    </row>
    <row r="10" ht="21.75" customHeight="1">
      <c r="A10" s="109" t="str">
        <f t="array" ref="A10">IFERROR(INDEX('HISTORICO FIJOS'!$A$3:$A$204, MATCH(1, 'HISTORICO FIJOS'!$P$3:$P$204, 0)), "")</f>
        <v>F-0107</v>
      </c>
      <c r="B10" s="194" t="str">
        <f t="array" ref="B10">IFERROR(INDEX('HISTORICO FIJOS'!$B$3:$B$204, MATCH(1, 'HISTORICO FIJOS'!$P$3:$P$204, 0)), "")</f>
        <v>EPM ENERGIA</v>
      </c>
      <c r="C10" s="124" t="str">
        <f t="array" ref="C10">IFERROR(INDEX('HISTORICO FIJOS'!$C$3:$C$204, MATCH(1, 'HISTORICO FIJOS'!$P$3:$P$204, 0)), "")</f>
        <v>Servicios</v>
      </c>
      <c r="D10" s="115">
        <f t="array" ref="D10">IFERROR(INDEX('HISTORICO FIJOS'!$D$3:$D$204, MATCH(1, 'HISTORICO FIJOS'!$P$3:$P$204, 0)), "")</f>
        <v>15</v>
      </c>
      <c r="E10" s="113">
        <f t="array" ref="E10">IFERROR(INDEX('HISTORICO FIJOS'!$E$4:$E$250, MATCH(1, 'HISTORICO FIJOS'!$P$4:$P$250, 0)), "")</f>
        <v>177000</v>
      </c>
      <c r="F10" s="113">
        <f t="array" ref="F10">IFERROR(INDEX('HISTORICO FIJOS'!$F$4:$F$250, MATCH(1, 'HISTORICO FIJOS'!$P$4:$P$250, 0)), "")</f>
        <v>0</v>
      </c>
      <c r="G10" s="111" t="str">
        <f t="shared" ref="G10:G26" si="1">IF(A10="","",IF(N(F10)&gt;=E10,"🟢 Pagado",IF(N(F10)&gt;0,"🟡 Abono Parcial","🔴 Pendiente")))</f>
        <v>🔴 Pendiente</v>
      </c>
      <c r="H10" s="110" t="str">
        <f t="array" ref="H10">IFERROR(INDEX('HISTORICO FIJOS'!$G$4:$G$250, MATCH(1, 'HISTORICO FIJOS'!$P$4:$P$250, 0)), "")</f>
        <v/>
      </c>
      <c r="I10" s="113">
        <f t="shared" ref="I10:I26" si="2">IF(A10="","",MAX(0, E10-N(F10)))</f>
        <v>177000</v>
      </c>
      <c r="J10" s="111" t="str">
        <f t="array" ref="J10">IFERROR(INDEX('HISTORICO FIJOS'!$L$3:$L$204, MATCH(1, 'HISTORICO FIJOS'!$P$3:$P$204, 0)), "")</f>
        <v>Media</v>
      </c>
      <c r="K10" s="111" t="str">
        <f t="array" ref="K10">IFERROR(INDEX('HISTORICO FIJOS'!$M$3:$M$204, MATCH(1, 'HISTORICO FIJOS'!$P$3:$P$204, 0)), "")</f>
        <v>Transferencia</v>
      </c>
      <c r="L10" s="188" t="str">
        <f t="array" ref="L10">IFERROR(INDEX('HISTORICO FIJOS'!$O$3:$O$204, MATCH(1, 'HISTORICO FIJOS'!$P$3:$P$204, 0)), "")</f>
        <v/>
      </c>
    </row>
    <row r="11" ht="21.75" customHeight="1">
      <c r="A11" s="117" t="str">
        <f t="array" ref="A11">IFERROR(INDEX('HISTORICO FIJOS'!$A$3:$A$204, MATCH(2, 'HISTORICO FIJOS'!$P$3:$P$204, 0)), "")</f>
        <v>F-0108</v>
      </c>
      <c r="B11" s="195" t="str">
        <f t="array" ref="B11">IFERROR(INDEX('HISTORICO FIJOS'!$B$3:$B$204, MATCH(2, 'HISTORICO FIJOS'!$P$3:$P$204, 0)), "")</f>
        <v>COMIDA</v>
      </c>
      <c r="C11" s="120" t="str">
        <f t="array" ref="C11">IFERROR(INDEX('HISTORICO FIJOS'!$C$3:$C$204, MATCH(2, 'HISTORICO FIJOS'!$P$3:$P$204, 0)), "")</f>
        <v>Alimentación</v>
      </c>
      <c r="D11" s="122">
        <f t="array" ref="D11">IFERROR(INDEX('HISTORICO FIJOS'!$D$3:$D$204, MATCH(2, 'HISTORICO FIJOS'!$P$3:$P$204, 0)), "")</f>
        <v>15</v>
      </c>
      <c r="E11" s="121">
        <f t="array" ref="E11">IFERROR(INDEX('HISTORICO FIJOS'!$E$3:$E$204, MATCH(2, 'HISTORICO FIJOS'!$P$3:$P$204, 0)), "")</f>
        <v>850000</v>
      </c>
      <c r="F11" s="121">
        <f t="array" ref="F11">IFERROR(INDEX('HISTORICO FIJOS'!$F$3:$F$204, MATCH(2, 'HISTORICO FIJOS'!$P$3:$P$204, 0)), "")</f>
        <v>0</v>
      </c>
      <c r="G11" s="119" t="str">
        <f t="shared" si="1"/>
        <v>🔴 Pendiente</v>
      </c>
      <c r="H11" s="118" t="str">
        <f t="array" ref="H11">IFERROR(INDEX('HISTORICO FIJOS'!$G$3:$G$204, MATCH(2, 'HISTORICO FIJOS'!$P$3:$P$204, 0)), "")</f>
        <v/>
      </c>
      <c r="I11" s="121">
        <f t="shared" si="2"/>
        <v>850000</v>
      </c>
      <c r="J11" s="119" t="str">
        <f t="array" ref="J11">IFERROR(INDEX('HISTORICO FIJOS'!$L$3:$L$204, MATCH(2, 'HISTORICO FIJOS'!$P$3:$P$204, 0)), "")</f>
        <v>Media</v>
      </c>
      <c r="K11" s="119" t="str">
        <f t="array" ref="K11">IFERROR(INDEX('HISTORICO FIJOS'!$M$3:$M$204, MATCH(2, 'HISTORICO FIJOS'!$P$3:$P$204, 0)), "")</f>
        <v>Transferencia</v>
      </c>
      <c r="L11" s="189" t="str">
        <f t="array" ref="L11">IFERROR(INDEX('HISTORICO FIJOS'!$O$3:$O$204, MATCH(2, 'HISTORICO FIJOS'!$P$3:$P$204, 0)), "")</f>
        <v/>
      </c>
    </row>
    <row r="12" ht="21.75" customHeight="1">
      <c r="A12" s="109" t="str">
        <f t="array" ref="A12">IFERROR(INDEX('HISTORICO FIJOS'!$A$3:$A$204, MATCH(3, 'HISTORICO FIJOS'!$P$3:$P$204, 0)), "")</f>
        <v>F-0109</v>
      </c>
      <c r="B12" s="194" t="str">
        <f t="array" ref="B12">IFERROR(INDEX('HISTORICO FIJOS'!$B$3:$B$204, MATCH(3, 'HISTORICO FIJOS'!$P$3:$P$204, 0)), "")</f>
        <v>Internet Tigo</v>
      </c>
      <c r="C12" s="124" t="str">
        <f t="array" ref="C12">IFERROR(INDEX('HISTORICO FIJOS'!$C$3:$C$204, MATCH(3, 'HISTORICO FIJOS'!$P$3:$P$204, 0)), "")</f>
        <v>Servicios</v>
      </c>
      <c r="D12" s="115">
        <f t="array" ref="D12">IFERROR(INDEX('HISTORICO FIJOS'!$D$3:$D$204, MATCH(3, 'HISTORICO FIJOS'!$P$3:$P$204, 0)), "")</f>
        <v>15</v>
      </c>
      <c r="E12" s="113">
        <f t="array" ref="E12">IFERROR(INDEX('HISTORICO FIJOS'!$E$3:$E$204, MATCH(3, 'HISTORICO FIJOS'!$P$3:$P$204, 0)), "")</f>
        <v>120000</v>
      </c>
      <c r="F12" s="113">
        <f t="array" ref="F12">IFERROR(INDEX('HISTORICO FIJOS'!$F$3:$F$204, MATCH(3, 'HISTORICO FIJOS'!$P$3:$P$204, 0)), "")</f>
        <v>0</v>
      </c>
      <c r="G12" s="111" t="str">
        <f t="shared" si="1"/>
        <v>🔴 Pendiente</v>
      </c>
      <c r="H12" s="110" t="str">
        <f t="array" ref="H12">IFERROR(INDEX('HISTORICO FIJOS'!$G$3:$G$204, MATCH(3, 'HISTORICO FIJOS'!$P$3:$P$204, 0)), "")</f>
        <v/>
      </c>
      <c r="I12" s="113">
        <f t="shared" si="2"/>
        <v>120000</v>
      </c>
      <c r="J12" s="111" t="str">
        <f t="array" ref="J12">IFERROR(INDEX('HISTORICO FIJOS'!$L$3:$L$204, MATCH(3, 'HISTORICO FIJOS'!$P$3:$P$204, 0)), "")</f>
        <v>Media</v>
      </c>
      <c r="K12" s="111" t="str">
        <f t="array" ref="K12">IFERROR(INDEX('HISTORICO FIJOS'!$M$3:$M$204, MATCH(3, 'HISTORICO FIJOS'!$P$3:$P$204, 0)), "")</f>
        <v>Transferencia</v>
      </c>
      <c r="L12" s="188" t="str">
        <f t="array" ref="L12">IFERROR(INDEX('HISTORICO FIJOS'!$O$3:$O$204, MATCH(3, 'HISTORICO FIJOS'!$P$3:$P$204, 0)), "")</f>
        <v/>
      </c>
    </row>
    <row r="13" ht="21.75" customHeight="1">
      <c r="A13" s="117" t="str">
        <f t="array" ref="A13">IFERROR(INDEX('HISTORICO FIJOS'!$A$3:$A$204, MATCH(4, 'HISTORICO FIJOS'!$P$3:$P$204, 0)), "")</f>
        <v>F-0110</v>
      </c>
      <c r="B13" s="195" t="str">
        <f t="array" ref="B13">IFERROR(INDEX('HISTORICO FIJOS'!$B$3:$B$204, MATCH(4, 'HISTORICO FIJOS'!$P$3:$P$204, 0)), "")</f>
        <v>Parqueadero Trabajo Semana</v>
      </c>
      <c r="C13" s="120" t="str">
        <f t="array" ref="C13">IFERROR(INDEX('HISTORICO FIJOS'!$C$3:$C$204, MATCH(4, 'HISTORICO FIJOS'!$P$3:$P$204, 0)), "")</f>
        <v>Transporte</v>
      </c>
      <c r="D13" s="122">
        <f t="array" ref="D13">IFERROR(INDEX('HISTORICO FIJOS'!$D$3:$D$204, MATCH(4, 'HISTORICO FIJOS'!$P$3:$P$204, 0)), "")</f>
        <v>15</v>
      </c>
      <c r="E13" s="121">
        <f t="array" ref="E13">IFERROR(INDEX('HISTORICO FIJOS'!$E$3:$E$204, MATCH(4, 'HISTORICO FIJOS'!$P$3:$P$204, 0)), "")</f>
        <v>40000</v>
      </c>
      <c r="F13" s="121">
        <f t="array" ref="F13">IFERROR(INDEX('HISTORICO FIJOS'!$F$3:$F$204, MATCH(4, 'HISTORICO FIJOS'!$P$3:$P$204, 0)), "")</f>
        <v>0</v>
      </c>
      <c r="G13" s="119" t="str">
        <f t="shared" si="1"/>
        <v>🔴 Pendiente</v>
      </c>
      <c r="H13" s="118" t="str">
        <f t="array" ref="H13">IFERROR(INDEX('HISTORICO FIJOS'!$G$3:$G$204, MATCH(4, 'HISTORICO FIJOS'!$P$3:$P$204, 0)), "")</f>
        <v/>
      </c>
      <c r="I13" s="121">
        <f t="shared" si="2"/>
        <v>40000</v>
      </c>
      <c r="J13" s="119" t="str">
        <f t="array" ref="J13">IFERROR(INDEX('HISTORICO FIJOS'!$L$3:$L$204, MATCH(4, 'HISTORICO FIJOS'!$P$3:$P$204, 0)), "")</f>
        <v>Media</v>
      </c>
      <c r="K13" s="119" t="str">
        <f t="array" ref="K13">IFERROR(INDEX('HISTORICO FIJOS'!$M$3:$M$204, MATCH(4, 'HISTORICO FIJOS'!$P$3:$P$204, 0)), "")</f>
        <v>Transferencia</v>
      </c>
      <c r="L13" s="189" t="str">
        <f t="array" ref="L13">IFERROR(INDEX('HISTORICO FIJOS'!$O$3:$O$204, MATCH(4, 'HISTORICO FIJOS'!$P$3:$P$204, 0)), "")</f>
        <v/>
      </c>
    </row>
    <row r="14" ht="21.75" customHeight="1">
      <c r="A14" s="109" t="str">
        <f t="array" ref="A14">IFERROR(INDEX('HISTORICO FIJOS'!$A$3:$A$204, MATCH(5, 'HISTORICO FIJOS'!$P$3:$P$204, 0)), "")</f>
        <v>F-0111</v>
      </c>
      <c r="B14" s="194" t="str">
        <f t="array" ref="B14">IFERROR(INDEX('HISTORICO FIJOS'!$B$3:$B$204, MATCH(5, 'HISTORICO FIJOS'!$P$3:$P$204, 0)), "")</f>
        <v>Cuota Audifonos Samsung</v>
      </c>
      <c r="C14" s="124" t="str">
        <f t="array" ref="C14">IFERROR(INDEX('HISTORICO FIJOS'!$C$3:$C$204, MATCH(5, 'HISTORICO FIJOS'!$P$3:$P$204, 0)), "")</f>
        <v>Otros</v>
      </c>
      <c r="D14" s="115">
        <f t="array" ref="D14">IFERROR(INDEX('HISTORICO FIJOS'!$D$3:$D$204, MATCH(5, 'HISTORICO FIJOS'!$P$3:$P$204, 0)), "")</f>
        <v>15</v>
      </c>
      <c r="E14" s="113">
        <f t="array" ref="E14">IFERROR(INDEX('HISTORICO FIJOS'!$E$3:$E$204, MATCH(5, 'HISTORICO FIJOS'!$P$3:$P$204, 0)), "")</f>
        <v>50000</v>
      </c>
      <c r="F14" s="113">
        <f t="array" ref="F14">IFERROR(INDEX('HISTORICO FIJOS'!$F$3:$F$204, MATCH(5, 'HISTORICO FIJOS'!$P$3:$P$204, 0)), "")</f>
        <v>0</v>
      </c>
      <c r="G14" s="111" t="str">
        <f t="shared" si="1"/>
        <v>🔴 Pendiente</v>
      </c>
      <c r="H14" s="110" t="str">
        <f t="array" ref="H14">IFERROR(INDEX('HISTORICO FIJOS'!$G$3:$G$204, MATCH(5, 'HISTORICO FIJOS'!$P$3:$P$204, 0)), "")</f>
        <v/>
      </c>
      <c r="I14" s="113">
        <f t="shared" si="2"/>
        <v>50000</v>
      </c>
      <c r="J14" s="111" t="str">
        <f t="array" ref="J14">IFERROR(INDEX('HISTORICO FIJOS'!$L$3:$L$204, MATCH(5, 'HISTORICO FIJOS'!$P$3:$P$204, 0)), "")</f>
        <v>Media</v>
      </c>
      <c r="K14" s="111" t="str">
        <f t="array" ref="K14">IFERROR(INDEX('HISTORICO FIJOS'!$M$3:$M$204, MATCH(5, 'HISTORICO FIJOS'!$P$3:$P$204, 0)), "")</f>
        <v>Transferencia</v>
      </c>
      <c r="L14" s="188" t="str">
        <f t="array" ref="L14">IFERROR(INDEX('HISTORICO FIJOS'!$O$3:$O$204, MATCH(5, 'HISTORICO FIJOS'!$P$3:$P$204, 0)), "")</f>
        <v/>
      </c>
    </row>
    <row r="15" ht="21.75" customHeight="1">
      <c r="A15" s="117" t="str">
        <f t="array" ref="A15">IFERROR(INDEX('HISTORICO FIJOS'!$A$3:$A$204, MATCH(6, 'HISTORICO FIJOS'!$P$3:$P$204, 0)), "")</f>
        <v>F-0112</v>
      </c>
      <c r="B15" s="195" t="str">
        <f t="array" ref="B15">IFERROR(INDEX('HISTORICO FIJOS'!$B$3:$B$204, MATCH(6, 'HISTORICO FIJOS'!$P$3:$P$204, 0)), "")</f>
        <v>PARQUEADERO MOTO</v>
      </c>
      <c r="C15" s="120" t="str">
        <f t="array" ref="C15">IFERROR(INDEX('HISTORICO FIJOS'!$C$3:$C$204, MATCH(6, 'HISTORICO FIJOS'!$P$3:$P$204, 0)), "")</f>
        <v>Moto</v>
      </c>
      <c r="D15" s="122">
        <f t="array" ref="D15">IFERROR(INDEX('HISTORICO FIJOS'!$D$3:$D$204, MATCH(6, 'HISTORICO FIJOS'!$P$3:$P$204, 0)), "")</f>
        <v>15</v>
      </c>
      <c r="E15" s="121">
        <f t="array" ref="E15">IFERROR(INDEX('HISTORICO FIJOS'!$E$3:$E$204, MATCH(6, 'HISTORICO FIJOS'!$P$3:$P$204, 0)), "")</f>
        <v>60000</v>
      </c>
      <c r="F15" s="121">
        <f t="array" ref="F15">IFERROR(INDEX('HISTORICO FIJOS'!$F$3:$F$204, MATCH(6, 'HISTORICO FIJOS'!$P$3:$P$204, 0)), "")</f>
        <v>0</v>
      </c>
      <c r="G15" s="119" t="str">
        <f t="shared" si="1"/>
        <v>🔴 Pendiente</v>
      </c>
      <c r="H15" s="118" t="str">
        <f t="array" ref="H15">IFERROR(INDEX('HISTORICO FIJOS'!$G$3:$G$204, MATCH(6, 'HISTORICO FIJOS'!$P$3:$P$204, 0)), "")</f>
        <v/>
      </c>
      <c r="I15" s="121">
        <f t="shared" si="2"/>
        <v>60000</v>
      </c>
      <c r="J15" s="119" t="str">
        <f t="array" ref="J15">IFERROR(INDEX('HISTORICO FIJOS'!$L$3:$L$204, MATCH(6, 'HISTORICO FIJOS'!$P$3:$P$204, 0)), "")</f>
        <v>Media</v>
      </c>
      <c r="K15" s="119" t="str">
        <f t="array" ref="K15">IFERROR(INDEX('HISTORICO FIJOS'!$M$3:$M$204, MATCH(6, 'HISTORICO FIJOS'!$P$3:$P$204, 0)), "")</f>
        <v>Efectivo</v>
      </c>
      <c r="L15" s="189" t="str">
        <f t="array" ref="L15">IFERROR(INDEX('HISTORICO FIJOS'!$O$3:$O$204, MATCH(6, 'HISTORICO FIJOS'!$P$3:$P$204, 0)), "")</f>
        <v/>
      </c>
    </row>
    <row r="16" ht="21.75" customHeight="1">
      <c r="A16" s="109" t="str">
        <f t="array" ref="A16">IFERROR(INDEX('HISTORICO FIJOS'!$A$3:$A$204, MATCH(7, 'HISTORICO FIJOS'!$P$3:$P$204, 0)), "")</f>
        <v>F-0113</v>
      </c>
      <c r="B16" s="194" t="str">
        <f t="array" ref="B16">IFERROR(INDEX('HISTORICO FIJOS'!$B$3:$B$204, MATCH(7, 'HISTORICO FIJOS'!$P$3:$P$204, 0)), "")</f>
        <v>Gasolina Moto</v>
      </c>
      <c r="C16" s="124" t="str">
        <f t="array" ref="C16">IFERROR(INDEX('HISTORICO FIJOS'!$C$3:$C$204, MATCH(7, 'HISTORICO FIJOS'!$P$3:$P$204, 0)), "")</f>
        <v>Moto</v>
      </c>
      <c r="D16" s="115">
        <f t="array" ref="D16">IFERROR(INDEX('HISTORICO FIJOS'!$D$3:$D$204, MATCH(7, 'HISTORICO FIJOS'!$P$3:$P$204, 0)), "")</f>
        <v>15</v>
      </c>
      <c r="E16" s="113">
        <f t="array" ref="E16">IFERROR(INDEX('HISTORICO FIJOS'!$E$3:$E$204, MATCH(7, 'HISTORICO FIJOS'!$P$3:$P$204, 0)), "")</f>
        <v>35000</v>
      </c>
      <c r="F16" s="113">
        <f t="array" ref="F16">IFERROR(INDEX('HISTORICO FIJOS'!$F$3:$F$204, MATCH(7, 'HISTORICO FIJOS'!$P$3:$P$204, 0)), "")</f>
        <v>0</v>
      </c>
      <c r="G16" s="111" t="str">
        <f t="shared" si="1"/>
        <v>🔴 Pendiente</v>
      </c>
      <c r="H16" s="110" t="str">
        <f t="array" ref="H16">IFERROR(INDEX('HISTORICO FIJOS'!$G$3:$G$204, MATCH(7, 'HISTORICO FIJOS'!$P$3:$P$204, 0)), "")</f>
        <v/>
      </c>
      <c r="I16" s="113">
        <f t="shared" si="2"/>
        <v>35000</v>
      </c>
      <c r="J16" s="111" t="str">
        <f t="array" ref="J16">IFERROR(INDEX('HISTORICO FIJOS'!$L$3:$L$204, MATCH(7, 'HISTORICO FIJOS'!$P$3:$P$204, 0)), "")</f>
        <v>Media</v>
      </c>
      <c r="K16" s="111" t="str">
        <f t="array" ref="K16">IFERROR(INDEX('HISTORICO FIJOS'!$M$3:$M$204, MATCH(7, 'HISTORICO FIJOS'!$P$3:$P$204, 0)), "")</f>
        <v>Transferencia</v>
      </c>
      <c r="L16" s="188" t="str">
        <f t="array" ref="L16">IFERROR(INDEX('HISTORICO FIJOS'!$O$3:$O$204, MATCH(7, 'HISTORICO FIJOS'!$P$3:$P$204, 0)), "")</f>
        <v/>
      </c>
    </row>
    <row r="17" ht="21.75" customHeight="1">
      <c r="A17" s="117" t="str">
        <f t="array" ref="A17">IFERROR(INDEX('HISTORICO FIJOS'!$A$3:$A$204, MATCH(8, 'HISTORICO FIJOS'!$P$3:$P$204, 0)), "")</f>
        <v>F-0114</v>
      </c>
      <c r="B17" s="195" t="str">
        <f t="array" ref="B17">IFERROR(INDEX('HISTORICO FIJOS'!$B$3:$B$204, MATCH(8, 'HISTORICO FIJOS'!$P$3:$P$204, 0)), "")</f>
        <v>Spotify</v>
      </c>
      <c r="C17" s="120" t="str">
        <f t="array" ref="C17">IFERROR(INDEX('HISTORICO FIJOS'!$C$3:$C$204, MATCH(8, 'HISTORICO FIJOS'!$P$3:$P$204, 0)), "")</f>
        <v>Entretenimiento</v>
      </c>
      <c r="D17" s="122">
        <f t="array" ref="D17">IFERROR(INDEX('HISTORICO FIJOS'!$D$3:$D$204, MATCH(8, 'HISTORICO FIJOS'!$P$3:$P$204, 0)), "")</f>
        <v>15</v>
      </c>
      <c r="E17" s="121">
        <f t="array" ref="E17">IFERROR(INDEX('HISTORICO FIJOS'!$E$3:$E$204, MATCH(8, 'HISTORICO FIJOS'!$P$3:$P$204, 0)), "")</f>
        <v>10100</v>
      </c>
      <c r="F17" s="121">
        <f t="array" ref="F17">IFERROR(INDEX('HISTORICO FIJOS'!$F$3:$F$204, MATCH(8, 'HISTORICO FIJOS'!$P$3:$P$204, 0)), "")</f>
        <v>10100</v>
      </c>
      <c r="G17" s="119" t="str">
        <f t="shared" si="1"/>
        <v>🟢 Pagado</v>
      </c>
      <c r="H17" s="118">
        <f t="array" ref="H17">IFERROR(INDEX('HISTORICO FIJOS'!$G$3:$G$204, MATCH(8, 'HISTORICO FIJOS'!$P$3:$P$204, 0)), "")</f>
        <v>46310</v>
      </c>
      <c r="I17" s="121">
        <f t="shared" si="2"/>
        <v>0</v>
      </c>
      <c r="J17" s="119" t="str">
        <f t="array" ref="J17">IFERROR(INDEX('HISTORICO FIJOS'!$L$3:$L$204, MATCH(8, 'HISTORICO FIJOS'!$P$3:$P$204, 0)), "")</f>
        <v>Media</v>
      </c>
      <c r="K17" s="119" t="str">
        <f t="array" ref="K17">IFERROR(INDEX('HISTORICO FIJOS'!$M$3:$M$204, MATCH(8, 'HISTORICO FIJOS'!$P$3:$P$204, 0)), "")</f>
        <v>Tarjeta Nequi</v>
      </c>
      <c r="L17" s="189" t="str">
        <f t="array" ref="L17">IFERROR(INDEX('HISTORICO FIJOS'!$O$3:$O$204, MATCH(8, 'HISTORICO FIJOS'!$P$3:$P$204, 0)), "")</f>
        <v>Renovación automática Google Play GPA.3333-4099-9556-15284..13</v>
      </c>
    </row>
    <row r="18" ht="21.75" customHeight="1">
      <c r="A18" s="109" t="str">
        <f t="array" ref="A18">IFERROR(INDEX('HISTORICO FIJOS'!$A$3:$A$204, MATCH(9, 'HISTORICO FIJOS'!$P$3:$P$204, 0)), "")</f>
        <v>F-0115</v>
      </c>
      <c r="B18" s="194" t="str">
        <f t="array" ref="B18">IFERROR(INDEX('HISTORICO FIJOS'!$B$3:$B$204, MATCH(9, 'HISTORICO FIJOS'!$P$3:$P$204, 0)), "")</f>
        <v>CUOTA DATOS CELULAR</v>
      </c>
      <c r="C18" s="124" t="str">
        <f t="array" ref="C18">IFERROR(INDEX('HISTORICO FIJOS'!$C$3:$C$204, MATCH(9, 'HISTORICO FIJOS'!$P$3:$P$204, 0)), "")</f>
        <v>Servicios</v>
      </c>
      <c r="D18" s="115">
        <f t="array" ref="D18">IFERROR(INDEX('HISTORICO FIJOS'!$D$3:$D$204, MATCH(9, 'HISTORICO FIJOS'!$P$3:$P$204, 0)), "")</f>
        <v>15</v>
      </c>
      <c r="E18" s="113">
        <f t="array" ref="E18">IFERROR(INDEX('HISTORICO FIJOS'!$E$3:$E$204, MATCH(9, 'HISTORICO FIJOS'!$P$3:$P$204, 0)), "")</f>
        <v>43900</v>
      </c>
      <c r="F18" s="113">
        <f t="array" ref="F18">IFERROR(INDEX('HISTORICO FIJOS'!$F$3:$F$204, MATCH(9, 'HISTORICO FIJOS'!$P$3:$P$204, 0)), "")</f>
        <v>43900</v>
      </c>
      <c r="G18" s="111" t="str">
        <f t="shared" si="1"/>
        <v>🟢 Pagado</v>
      </c>
      <c r="H18" s="110">
        <f t="array" ref="H18">IFERROR(INDEX('HISTORICO FIJOS'!$G$3:$G$204, MATCH(9, 'HISTORICO FIJOS'!$P$3:$P$204, 0)), "")</f>
        <v>46297</v>
      </c>
      <c r="I18" s="113">
        <f t="shared" si="2"/>
        <v>0</v>
      </c>
      <c r="J18" s="111" t="str">
        <f t="array" ref="J18">IFERROR(INDEX('HISTORICO FIJOS'!$L$3:$L$204, MATCH(9, 'HISTORICO FIJOS'!$P$3:$P$204, 0)), "")</f>
        <v>Media</v>
      </c>
      <c r="K18" s="111" t="str">
        <f t="array" ref="K18">IFERROR(INDEX('HISTORICO FIJOS'!$M$3:$M$204, MATCH(9, 'HISTORICO FIJOS'!$P$3:$P$204, 0)), "")</f>
        <v>Efectivo</v>
      </c>
      <c r="L18" s="188" t="str">
        <f t="array" ref="L18">IFERROR(INDEX('HISTORICO FIJOS'!$O$3:$O$204, MATCH(9, 'HISTORICO FIJOS'!$P$3:$P$204, 0)), "")</f>
        <v/>
      </c>
    </row>
    <row r="19" ht="21.75" customHeight="1">
      <c r="A19" s="117" t="str">
        <f t="array" ref="A19">IFERROR(INDEX('HISTORICO FIJOS'!$A$3:$A$204, MATCH(10, 'HISTORICO FIJOS'!$P$3:$P$204, 0)), "")</f>
        <v>F-0116</v>
      </c>
      <c r="B19" s="195" t="str">
        <f t="array" ref="B19">IFERROR(INDEX('HISTORICO FIJOS'!$B$3:$B$204, MATCH(10, 'HISTORICO FIJOS'!$P$3:$P$204, 0)), "")</f>
        <v>ARRIENDO CASA</v>
      </c>
      <c r="C19" s="120" t="str">
        <f t="array" ref="C19">IFERROR(INDEX('HISTORICO FIJOS'!$C$3:$C$204, MATCH(10, 'HISTORICO FIJOS'!$P$3:$P$204, 0)), "")</f>
        <v>Vivienda</v>
      </c>
      <c r="D19" s="122">
        <f t="array" ref="D19">IFERROR(INDEX('HISTORICO FIJOS'!$D$3:$D$204, MATCH(10, 'HISTORICO FIJOS'!$P$3:$P$204, 0)), "")</f>
        <v>30</v>
      </c>
      <c r="E19" s="121">
        <f t="array" ref="E19">IFERROR(INDEX('HISTORICO FIJOS'!$E$3:$E$204, MATCH(10, 'HISTORICO FIJOS'!$P$3:$P$204, 0)), "")</f>
        <v>900000</v>
      </c>
      <c r="F19" s="121">
        <f t="array" ref="F19">IFERROR(INDEX('HISTORICO FIJOS'!$F$3:$F$204, MATCH(10, 'HISTORICO FIJOS'!$P$3:$P$204, 0)), "")</f>
        <v>0</v>
      </c>
      <c r="G19" s="119" t="str">
        <f t="shared" si="1"/>
        <v>🔴 Pendiente</v>
      </c>
      <c r="H19" s="118" t="str">
        <f t="array" ref="H19">IFERROR(INDEX('HISTORICO FIJOS'!$G$3:$G$204, MATCH(10, 'HISTORICO FIJOS'!$P$3:$P$204, 0)), "")</f>
        <v/>
      </c>
      <c r="I19" s="121">
        <f t="shared" si="2"/>
        <v>900000</v>
      </c>
      <c r="J19" s="119" t="str">
        <f t="array" ref="J19">IFERROR(INDEX('HISTORICO FIJOS'!$L$3:$L$204, MATCH(10, 'HISTORICO FIJOS'!$P$3:$P$204, 0)), "")</f>
        <v>Media</v>
      </c>
      <c r="K19" s="119" t="str">
        <f t="array" ref="K19">IFERROR(INDEX('HISTORICO FIJOS'!$M$3:$M$204, MATCH(10, 'HISTORICO FIJOS'!$P$3:$P$204, 0)), "")</f>
        <v>Efectivo</v>
      </c>
      <c r="L19" s="189" t="str">
        <f t="array" ref="L19">IFERROR(INDEX('HISTORICO FIJOS'!$O$3:$O$204, MATCH(10, 'HISTORICO FIJOS'!$P$3:$P$204, 0)), "")</f>
        <v/>
      </c>
    </row>
    <row r="20" ht="21.75" customHeight="1">
      <c r="A20" s="109" t="str">
        <f t="array" ref="A20">IFERROR(INDEX('HISTORICO FIJOS'!$A$3:$A$204, MATCH(11, 'HISTORICO FIJOS'!$P$3:$P$204, 0)), "")</f>
        <v>F-0117</v>
      </c>
      <c r="B20" s="194" t="str">
        <f t="array" ref="B20">IFERROR(INDEX('HISTORICO FIJOS'!$B$3:$B$204, MATCH(11, 'HISTORICO FIJOS'!$P$3:$P$204, 0)), "")</f>
        <v>Google One</v>
      </c>
      <c r="C20" s="124" t="str">
        <f t="array" ref="C20">IFERROR(INDEX('HISTORICO FIJOS'!$C$3:$C$204, MATCH(11, 'HISTORICO FIJOS'!$P$3:$P$204, 0)), "")</f>
        <v>Servicios</v>
      </c>
      <c r="D20" s="115">
        <f t="array" ref="D20">IFERROR(INDEX('HISTORICO FIJOS'!$D$3:$D$204, MATCH(11, 'HISTORICO FIJOS'!$P$3:$P$204, 0)), "")</f>
        <v>30</v>
      </c>
      <c r="E20" s="113">
        <f t="array" ref="E20">IFERROR(INDEX('HISTORICO FIJOS'!$E$3:$E$204, MATCH(11, 'HISTORICO FIJOS'!$P$3:$P$204, 0)), "")</f>
        <v>20000</v>
      </c>
      <c r="F20" s="113">
        <f t="array" ref="F20">IFERROR(INDEX('HISTORICO FIJOS'!$F$3:$F$204, MATCH(11, 'HISTORICO FIJOS'!$P$3:$P$204, 0)), "")</f>
        <v>0</v>
      </c>
      <c r="G20" s="111" t="str">
        <f t="shared" si="1"/>
        <v>🔴 Pendiente</v>
      </c>
      <c r="H20" s="110" t="str">
        <f t="array" ref="H20">IFERROR(INDEX('HISTORICO FIJOS'!$G$3:$G$204, MATCH(11, 'HISTORICO FIJOS'!$P$3:$P$204, 0)), "")</f>
        <v/>
      </c>
      <c r="I20" s="113">
        <f t="shared" si="2"/>
        <v>20000</v>
      </c>
      <c r="J20" s="111" t="str">
        <f t="array" ref="J20">IFERROR(INDEX('HISTORICO FIJOS'!$L$3:$L$204, MATCH(11, 'HISTORICO FIJOS'!$P$3:$P$204, 0)), "")</f>
        <v>Media</v>
      </c>
      <c r="K20" s="111" t="str">
        <f t="array" ref="K20">IFERROR(INDEX('HISTORICO FIJOS'!$M$3:$M$204, MATCH(11, 'HISTORICO FIJOS'!$P$3:$P$204, 0)), "")</f>
        <v>Efectivo</v>
      </c>
      <c r="L20" s="188" t="str">
        <f t="array" ref="L20">IFERROR(INDEX('HISTORICO FIJOS'!$O$3:$O$204, MATCH(11, 'HISTORICO FIJOS'!$P$3:$P$204, 0)), "")</f>
        <v/>
      </c>
    </row>
    <row r="21" ht="21.75" customHeight="1">
      <c r="A21" s="117" t="str">
        <f t="array" ref="A21">IFERROR(INDEX('HISTORICO FIJOS'!$A$3:$A$204, MATCH(12, 'HISTORICO FIJOS'!$P$3:$P$204, 0)), "")</f>
        <v>F-0118</v>
      </c>
      <c r="B21" s="195" t="str">
        <f t="array" ref="B21">IFERROR(INDEX('HISTORICO FIJOS'!$B$3:$B$204, MATCH(12, 'HISTORICO FIJOS'!$P$3:$P$204, 0)), "")</f>
        <v>Gasolina Moto</v>
      </c>
      <c r="C21" s="120" t="str">
        <f t="array" ref="C21">IFERROR(INDEX('HISTORICO FIJOS'!$C$3:$C$204, MATCH(12, 'HISTORICO FIJOS'!$P$3:$P$204, 0)), "")</f>
        <v>Moto</v>
      </c>
      <c r="D21" s="122">
        <f t="array" ref="D21">IFERROR(INDEX('HISTORICO FIJOS'!$D$3:$D$204, MATCH(12, 'HISTORICO FIJOS'!$P$3:$P$204, 0)), "")</f>
        <v>30</v>
      </c>
      <c r="E21" s="121">
        <f t="array" ref="E21">IFERROR(INDEX('HISTORICO FIJOS'!$E$3:$E$204, MATCH(12, 'HISTORICO FIJOS'!$P$3:$P$204, 0)), "")</f>
        <v>25000</v>
      </c>
      <c r="F21" s="121">
        <f t="array" ref="F21">IFERROR(INDEX('HISTORICO FIJOS'!$F$3:$F$204, MATCH(12, 'HISTORICO FIJOS'!$P$3:$P$204, 0)), "")</f>
        <v>0</v>
      </c>
      <c r="G21" s="119" t="str">
        <f t="shared" si="1"/>
        <v>🔴 Pendiente</v>
      </c>
      <c r="H21" s="118" t="str">
        <f t="array" ref="H21">IFERROR(INDEX('HISTORICO FIJOS'!$G$3:$G$204, MATCH(12, 'HISTORICO FIJOS'!$P$3:$P$204, 0)), "")</f>
        <v/>
      </c>
      <c r="I21" s="121">
        <f t="shared" si="2"/>
        <v>25000</v>
      </c>
      <c r="J21" s="119" t="str">
        <f t="array" ref="J21">IFERROR(INDEX('HISTORICO FIJOS'!$L$3:$L$204, MATCH(12, 'HISTORICO FIJOS'!$P$3:$P$204, 0)), "")</f>
        <v>Media</v>
      </c>
      <c r="K21" s="119" t="str">
        <f t="array" ref="K21">IFERROR(INDEX('HISTORICO FIJOS'!$M$3:$M$204, MATCH(12, 'HISTORICO FIJOS'!$P$3:$P$204, 0)), "")</f>
        <v>Efectivo</v>
      </c>
      <c r="L21" s="189" t="str">
        <f t="array" ref="L21">IFERROR(INDEX('HISTORICO FIJOS'!$O$3:$O$204, MATCH(12, 'HISTORICO FIJOS'!$P$3:$P$204, 0)), "")</f>
        <v/>
      </c>
    </row>
    <row r="22" ht="21.75" customHeight="1">
      <c r="A22" s="109" t="str">
        <f t="array" ref="A22">IFERROR(INDEX('HISTORICO FIJOS'!$A$3:$A$204, MATCH(13, 'HISTORICO FIJOS'!$P$3:$P$204, 0)), "")</f>
        <v>F-0119</v>
      </c>
      <c r="B22" s="194" t="str">
        <f t="array" ref="B22">IFERROR(INDEX('HISTORICO FIJOS'!$B$3:$B$204, MATCH(13, 'HISTORICO FIJOS'!$P$3:$P$204, 0)), "")</f>
        <v>Parqueadero Trabajo Semana</v>
      </c>
      <c r="C22" s="124" t="str">
        <f t="array" ref="C22">IFERROR(INDEX('HISTORICO FIJOS'!$C$3:$C$204, MATCH(13, 'HISTORICO FIJOS'!$P$3:$P$204, 0)), "")</f>
        <v>Transporte</v>
      </c>
      <c r="D22" s="115">
        <f t="array" ref="D22">IFERROR(INDEX('HISTORICO FIJOS'!$D$3:$D$204, MATCH(13, 'HISTORICO FIJOS'!$P$3:$P$204, 0)), "")</f>
        <v>30</v>
      </c>
      <c r="E22" s="113">
        <f t="array" ref="E22">IFERROR(INDEX('HISTORICO FIJOS'!$E$3:$E$204, MATCH(13, 'HISTORICO FIJOS'!$P$3:$P$204, 0)), "")</f>
        <v>40000</v>
      </c>
      <c r="F22" s="113">
        <f t="array" ref="F22">IFERROR(INDEX('HISTORICO FIJOS'!$F$3:$F$204, MATCH(13, 'HISTORICO FIJOS'!$P$3:$P$204, 0)), "")</f>
        <v>0</v>
      </c>
      <c r="G22" s="111" t="str">
        <f t="shared" si="1"/>
        <v>🔴 Pendiente</v>
      </c>
      <c r="H22" s="110" t="str">
        <f t="array" ref="H22">IFERROR(INDEX('HISTORICO FIJOS'!$G$3:$G$204, MATCH(13, 'HISTORICO FIJOS'!$P$3:$P$204, 0)), "")</f>
        <v/>
      </c>
      <c r="I22" s="113">
        <f t="shared" si="2"/>
        <v>40000</v>
      </c>
      <c r="J22" s="111" t="str">
        <f t="array" ref="J22">IFERROR(INDEX('HISTORICO FIJOS'!$L$3:$L$204, MATCH(13, 'HISTORICO FIJOS'!$P$3:$P$204, 0)), "")</f>
        <v>Media</v>
      </c>
      <c r="K22" s="111" t="str">
        <f t="array" ref="K22">IFERROR(INDEX('HISTORICO FIJOS'!$M$3:$M$204, MATCH(13, 'HISTORICO FIJOS'!$P$3:$P$204, 0)), "")</f>
        <v>Efectivo</v>
      </c>
      <c r="L22" s="188" t="str">
        <f t="array" ref="L22">IFERROR(INDEX('HISTORICO FIJOS'!$O$3:$O$204, MATCH(13, 'HISTORICO FIJOS'!$P$3:$P$204, 0)), "")</f>
        <v/>
      </c>
    </row>
    <row r="23" ht="21.75" customHeight="1">
      <c r="A23" s="117" t="str">
        <f t="array" ref="A23">IFERROR(INDEX('HISTORICO FIJOS'!$A$3:$A$204, MATCH(14, 'HISTORICO FIJOS'!$P$3:$P$204, 0)), "")</f>
        <v>F-0120</v>
      </c>
      <c r="B23" s="195" t="str">
        <f t="array" ref="B23">IFERROR(INDEX('HISTORICO FIJOS'!$B$3:$B$204, MATCH(14, 'HISTORICO FIJOS'!$P$3:$P$204, 0)), "")</f>
        <v>COMIDA</v>
      </c>
      <c r="C23" s="120" t="str">
        <f t="array" ref="C23">IFERROR(INDEX('HISTORICO FIJOS'!$C$3:$C$204, MATCH(14, 'HISTORICO FIJOS'!$P$3:$P$204, 0)), "")</f>
        <v>Alimentación</v>
      </c>
      <c r="D23" s="122">
        <f t="array" ref="D23">IFERROR(INDEX('HISTORICO FIJOS'!$D$3:$D$204, MATCH(14, 'HISTORICO FIJOS'!$P$3:$P$204, 0)), "")</f>
        <v>30</v>
      </c>
      <c r="E23" s="121">
        <f t="array" ref="E23">IFERROR(INDEX('HISTORICO FIJOS'!$E$3:$E$204, MATCH(14, 'HISTORICO FIJOS'!$P$3:$P$204, 0)), "")</f>
        <v>200000</v>
      </c>
      <c r="F23" s="121">
        <f t="array" ref="F23">IFERROR(INDEX('HISTORICO FIJOS'!$F$3:$F$204, MATCH(14, 'HISTORICO FIJOS'!$P$3:$P$204, 0)), "")</f>
        <v>0</v>
      </c>
      <c r="G23" s="119" t="str">
        <f t="shared" si="1"/>
        <v>🔴 Pendiente</v>
      </c>
      <c r="H23" s="118" t="str">
        <f t="array" ref="H23">IFERROR(INDEX('HISTORICO FIJOS'!$G$3:$G$204, MATCH(14, 'HISTORICO FIJOS'!$P$3:$P$204, 0)), "")</f>
        <v/>
      </c>
      <c r="I23" s="121">
        <f t="shared" si="2"/>
        <v>200000</v>
      </c>
      <c r="J23" s="119" t="str">
        <f t="array" ref="J23">IFERROR(INDEX('HISTORICO FIJOS'!$L$3:$L$204, MATCH(14, 'HISTORICO FIJOS'!$P$3:$P$204, 0)), "")</f>
        <v>Media</v>
      </c>
      <c r="K23" s="119" t="str">
        <f t="array" ref="K23">IFERROR(INDEX('HISTORICO FIJOS'!$M$3:$M$204, MATCH(14, 'HISTORICO FIJOS'!$P$3:$P$204, 0)), "")</f>
        <v>Efectivo</v>
      </c>
      <c r="L23" s="189" t="str">
        <f t="array" ref="L23">IFERROR(INDEX('HISTORICO FIJOS'!$O$3:$O$204, MATCH(14, 'HISTORICO FIJOS'!$P$3:$P$204, 0)), "")</f>
        <v/>
      </c>
    </row>
    <row r="24" ht="21.75" customHeight="1">
      <c r="A24" s="109" t="str">
        <f t="array" ref="A24">IFERROR(INDEX('HISTORICO FIJOS'!$A$3:$A$204, MATCH(15, 'HISTORICO FIJOS'!$P$3:$P$204, 0)), "")</f>
        <v>F-0121</v>
      </c>
      <c r="B24" s="194" t="str">
        <f t="array" ref="B24">IFERROR(INDEX('HISTORICO FIJOS'!$B$3:$B$204, MATCH(15, 'HISTORICO FIJOS'!$P$3:$P$204, 0)), "")</f>
        <v>PARQUEADERO MOTO</v>
      </c>
      <c r="C24" s="124" t="str">
        <f t="array" ref="C24">IFERROR(INDEX('HISTORICO FIJOS'!$C$3:$C$204, MATCH(15, 'HISTORICO FIJOS'!$P$3:$P$204, 0)), "")</f>
        <v>Moto</v>
      </c>
      <c r="D24" s="115">
        <f t="array" ref="D24">IFERROR(INDEX('HISTORICO FIJOS'!$D$3:$D$204, MATCH(15, 'HISTORICO FIJOS'!$P$3:$P$204, 0)), "")</f>
        <v>30</v>
      </c>
      <c r="E24" s="113">
        <f t="array" ref="E24">IFERROR(INDEX('HISTORICO FIJOS'!$E$3:$E$204, MATCH(15, 'HISTORICO FIJOS'!$P$3:$P$204, 0)), "")</f>
        <v>40000</v>
      </c>
      <c r="F24" s="113">
        <f t="array" ref="F24">IFERROR(INDEX('HISTORICO FIJOS'!$F$3:$F$204, MATCH(15, 'HISTORICO FIJOS'!$P$3:$P$204, 0)), "")</f>
        <v>0</v>
      </c>
      <c r="G24" s="111" t="str">
        <f t="shared" si="1"/>
        <v>🔴 Pendiente</v>
      </c>
      <c r="H24" s="110" t="str">
        <f t="array" ref="H24">IFERROR(INDEX('HISTORICO FIJOS'!$G$3:$G$204, MATCH(15, 'HISTORICO FIJOS'!$P$3:$P$204, 0)), "")</f>
        <v/>
      </c>
      <c r="I24" s="113">
        <f t="shared" si="2"/>
        <v>40000</v>
      </c>
      <c r="J24" s="111" t="str">
        <f t="array" ref="J24">IFERROR(INDEX('HISTORICO FIJOS'!$L$3:$L$204, MATCH(15, 'HISTORICO FIJOS'!$P$3:$P$204, 0)), "")</f>
        <v>Media</v>
      </c>
      <c r="K24" s="111" t="str">
        <f t="array" ref="K24">IFERROR(INDEX('HISTORICO FIJOS'!$M$3:$M$204, MATCH(15, 'HISTORICO FIJOS'!$P$3:$P$204, 0)), "")</f>
        <v>Efectivo</v>
      </c>
      <c r="L24" s="188" t="str">
        <f t="array" ref="L24">IFERROR(INDEX('HISTORICO FIJOS'!$O$3:$O$204, MATCH(15, 'HISTORICO FIJOS'!$P$3:$P$204, 0)), "")</f>
        <v/>
      </c>
    </row>
    <row r="25" ht="21.75" customHeight="1">
      <c r="A25" s="117" t="str">
        <f t="array" ref="A25">IFERROR(INDEX('HISTORICO FIJOS'!$A$3:$A$204, MATCH(16, 'HISTORICO FIJOS'!$P$3:$P$204, 0)), "")</f>
        <v/>
      </c>
      <c r="B25" s="195" t="str">
        <f t="array" ref="B25">IFERROR(INDEX('HISTORICO FIJOS'!$B$3:$B$204, MATCH(16, 'HISTORICO FIJOS'!$P$3:$P$204, 0)), "")</f>
        <v/>
      </c>
      <c r="C25" s="120" t="str">
        <f t="array" ref="C25">IFERROR(INDEX('HISTORICO FIJOS'!$C$3:$C$204, MATCH(16, 'HISTORICO FIJOS'!$P$3:$P$204, 0)), "")</f>
        <v/>
      </c>
      <c r="D25" s="122" t="str">
        <f t="array" ref="D25">IFERROR(INDEX('HISTORICO FIJOS'!$D$3:$D$204, MATCH(16, 'HISTORICO FIJOS'!$P$3:$P$204, 0)), "")</f>
        <v/>
      </c>
      <c r="E25" s="121" t="str">
        <f t="array" ref="E25">IFERROR(INDEX('HISTORICO FIJOS'!$E$3:$E$204, MATCH(16, 'HISTORICO FIJOS'!$P$3:$P$204, 0)), "")</f>
        <v/>
      </c>
      <c r="F25" s="121" t="str">
        <f t="array" ref="F25">IFERROR(INDEX('HISTORICO FIJOS'!$F$3:$F$204, MATCH(16, 'HISTORICO FIJOS'!$P$3:$P$204, 0)), "")</f>
        <v/>
      </c>
      <c r="G25" s="119" t="str">
        <f t="shared" si="1"/>
        <v/>
      </c>
      <c r="H25" s="118" t="str">
        <f t="array" ref="H25">IFERROR(INDEX('HISTORICO FIJOS'!$G$3:$G$204, MATCH(16, 'HISTORICO FIJOS'!$P$3:$P$204, 0)), "")</f>
        <v/>
      </c>
      <c r="I25" s="121" t="str">
        <f t="shared" si="2"/>
        <v/>
      </c>
      <c r="J25" s="119" t="str">
        <f t="array" ref="J25">IFERROR(INDEX('HISTORICO FIJOS'!$L$3:$L$204, MATCH(16, 'HISTORICO FIJOS'!$P$3:$P$204, 0)), "")</f>
        <v/>
      </c>
      <c r="K25" s="119" t="str">
        <f t="array" ref="K25">IFERROR(INDEX('HISTORICO FIJOS'!$M$3:$M$204, MATCH(16, 'HISTORICO FIJOS'!$P$3:$P$204, 0)), "")</f>
        <v/>
      </c>
      <c r="L25" s="189" t="str">
        <f t="array" ref="L25">IFERROR(INDEX('HISTORICO FIJOS'!$O$3:$O$204, MATCH(16, 'HISTORICO FIJOS'!$P$3:$P$204, 0)), "")</f>
        <v/>
      </c>
    </row>
    <row r="26" ht="21.75" customHeight="1">
      <c r="A26" s="132" t="str">
        <f t="array" ref="A26">IFERROR(INDEX('HISTORICO FIJOS'!$A$3:$A$204, MATCH(17, 'HISTORICO FIJOS'!$P$3:$P$204, 0)), "")</f>
        <v/>
      </c>
      <c r="B26" s="196" t="str">
        <f t="array" ref="B26">IFERROR(INDEX('HISTORICO FIJOS'!$B$3:$B$204, MATCH(17, 'HISTORICO FIJOS'!$P$3:$P$204, 0)), "")</f>
        <v/>
      </c>
      <c r="C26" s="134" t="str">
        <f t="array" ref="C26">IFERROR(INDEX('HISTORICO FIJOS'!$C$3:$C$204, MATCH(17, 'HISTORICO FIJOS'!$P$3:$P$204, 0)), "")</f>
        <v/>
      </c>
      <c r="D26" s="136" t="str">
        <f t="array" ref="D26">IFERROR(INDEX('HISTORICO FIJOS'!$D$3:$D$204, MATCH(17, 'HISTORICO FIJOS'!$P$3:$P$204, 0)), "")</f>
        <v/>
      </c>
      <c r="E26" s="135" t="str">
        <f t="array" ref="E26">IFERROR(INDEX('HISTORICO FIJOS'!$E$3:$E$204, MATCH(17, 'HISTORICO FIJOS'!$P$3:$P$204, 0)), "")</f>
        <v/>
      </c>
      <c r="F26" s="135" t="str">
        <f t="array" ref="F26">IFERROR(INDEX('HISTORICO FIJOS'!$F$3:$F$204, MATCH(17, 'HISTORICO FIJOS'!$P$3:$P$204, 0)), "")</f>
        <v/>
      </c>
      <c r="G26" s="83" t="str">
        <f t="shared" si="1"/>
        <v/>
      </c>
      <c r="H26" s="133" t="str">
        <f t="array" ref="H26">IFERROR(INDEX('HISTORICO FIJOS'!$G$3:$G$204, MATCH(17, 'HISTORICO FIJOS'!$P$3:$P$204, 0)), "")</f>
        <v/>
      </c>
      <c r="I26" s="135" t="str">
        <f t="shared" si="2"/>
        <v/>
      </c>
      <c r="J26" s="83" t="str">
        <f t="array" ref="J26">IFERROR(INDEX('HISTORICO FIJOS'!$L$3:$L$204, MATCH(17, 'HISTORICO FIJOS'!$P$3:$P$204, 0)), "")</f>
        <v/>
      </c>
      <c r="K26" s="83" t="str">
        <f t="array" ref="K26">IFERROR(INDEX('HISTORICO FIJOS'!$M$3:$M$204, MATCH(17, 'HISTORICO FIJOS'!$P$3:$P$204, 0)), "")</f>
        <v/>
      </c>
      <c r="L26" s="192" t="str">
        <f t="array" ref="L26">IFERROR(INDEX('HISTORICO FIJOS'!$O$3:$O$204, MATCH(17, 'HISTORICO FIJOS'!$P$3:$P$204, 0)), "")</f>
        <v/>
      </c>
    </row>
    <row r="27" ht="15.75" customHeight="1">
      <c r="A27" s="104"/>
      <c r="B27" s="104"/>
      <c r="C27" s="104"/>
      <c r="D27" s="104"/>
      <c r="E27" s="197"/>
      <c r="F27" s="197"/>
      <c r="G27" s="104"/>
      <c r="H27" s="104"/>
      <c r="I27" s="197"/>
      <c r="J27" s="104"/>
      <c r="K27" s="104"/>
      <c r="L27" s="10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5:F5"/>
    <mergeCell ref="G5:I5"/>
    <mergeCell ref="A1:L1"/>
    <mergeCell ref="A2:L2"/>
    <mergeCell ref="A4:C4"/>
    <mergeCell ref="D4:F4"/>
    <mergeCell ref="G4:I4"/>
    <mergeCell ref="J4:L4"/>
    <mergeCell ref="A5:C5"/>
    <mergeCell ref="J5:L5"/>
  </mergeCells>
  <conditionalFormatting sqref="G10:G26">
    <cfRule type="expression" dxfId="0" priority="1">
      <formula>ISNUMBER(SEARCH("🟢", G10))</formula>
    </cfRule>
  </conditionalFormatting>
  <conditionalFormatting sqref="G10:G26">
    <cfRule type="expression" dxfId="0" priority="2">
      <formula>ISNUMBER(SEARCH("✅", G10))</formula>
    </cfRule>
  </conditionalFormatting>
  <conditionalFormatting sqref="G10:G26">
    <cfRule type="expression" dxfId="1" priority="3">
      <formula>ISNUMBER(SEARCH("🔴", G10))</formula>
    </cfRule>
  </conditionalFormatting>
  <conditionalFormatting sqref="G10:G26">
    <cfRule type="expression" dxfId="1" priority="4">
      <formula>ISNUMBER(SEARCH("🚨", G10))</formula>
    </cfRule>
  </conditionalFormatting>
  <conditionalFormatting sqref="G10:G26">
    <cfRule type="expression" dxfId="2" priority="5">
      <formula>ISNUMBER(SEARCH("🟡", G10))</formula>
    </cfRule>
  </conditionalFormatting>
  <conditionalFormatting sqref="G10:G26">
    <cfRule type="expression" dxfId="2" priority="6">
      <formula>ISNUMBER(SEARCH("⚠️", G10))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7.0"/>
    <col customWidth="1" min="2" max="3" width="24.0"/>
    <col customWidth="1" min="4" max="4" width="25.0"/>
    <col customWidth="1" min="5" max="5" width="14.0"/>
    <col customWidth="1" min="6" max="6" width="22.0"/>
    <col customWidth="1" min="7" max="7" width="20.0"/>
    <col customWidth="1" min="8" max="8" width="41.0"/>
  </cols>
  <sheetData>
    <row r="1" ht="39.75" customHeight="1">
      <c r="A1" s="2" t="str">
        <f>"🎯 CONTROL PRESUPUESTAL Y LÍMITES — " &amp; UPPER(PANEL!L2) &amp; " " &amp; PANEL!I2</f>
        <v>🎯 CONTROL PRESUPUESTAL Y LÍMITES — OCTUBRE 2026</v>
      </c>
      <c r="B1" s="3"/>
      <c r="C1" s="3"/>
      <c r="D1" s="3"/>
      <c r="E1" s="3"/>
      <c r="F1" s="3"/>
      <c r="G1" s="3"/>
      <c r="H1" s="4"/>
    </row>
    <row r="2" ht="24.0" customHeight="1">
      <c r="A2" s="9" t="s">
        <v>928</v>
      </c>
      <c r="B2" s="3"/>
      <c r="C2" s="3"/>
      <c r="D2" s="3"/>
      <c r="E2" s="3"/>
      <c r="F2" s="3"/>
      <c r="G2" s="3"/>
      <c r="H2" s="4"/>
    </row>
    <row r="3" ht="9.75" customHeight="1">
      <c r="A3" s="104"/>
      <c r="B3" s="104"/>
      <c r="C3" s="104"/>
      <c r="D3" s="104"/>
      <c r="E3" s="104"/>
      <c r="F3" s="104"/>
      <c r="G3" s="104"/>
      <c r="H3" s="104"/>
    </row>
    <row r="4" ht="27.75" customHeight="1">
      <c r="A4" s="105" t="s">
        <v>929</v>
      </c>
      <c r="B4" s="106" t="s">
        <v>930</v>
      </c>
      <c r="C4" s="106" t="s">
        <v>931</v>
      </c>
      <c r="D4" s="106" t="s">
        <v>932</v>
      </c>
      <c r="E4" s="106" t="s">
        <v>933</v>
      </c>
      <c r="F4" s="106" t="s">
        <v>934</v>
      </c>
      <c r="G4" s="106" t="s">
        <v>935</v>
      </c>
      <c r="H4" s="173" t="s">
        <v>936</v>
      </c>
    </row>
    <row r="5" ht="22.5" customHeight="1">
      <c r="A5" s="174" t="s">
        <v>48</v>
      </c>
      <c r="B5" s="175">
        <v>800000.0</v>
      </c>
      <c r="C5" s="113">
        <f>PANEL!C20</f>
        <v>0</v>
      </c>
      <c r="D5" s="175">
        <f t="shared" ref="D5:D14" si="1">IF(B5=0, 0, B5-C5)</f>
        <v>800000</v>
      </c>
      <c r="E5" s="198">
        <f t="shared" ref="E5:E14" si="2">IF(B5=0, 0, C5/B5)</f>
        <v>0</v>
      </c>
      <c r="F5" s="199" t="str">
        <f t="shared" ref="F5:F13" si="3">IF(B5=0, "░░░░░░░░░░ (Libre)", REPT("█", MIN(10, ROUND(E5*10, 0))) &amp; REPT("░", MAX(0, 10-MIN(10, ROUND(E5*10, 0)))))</f>
        <v>░░░░░░░░░░</v>
      </c>
      <c r="G5" s="111" t="str">
        <f t="shared" ref="G5:G14" si="4">IF(B5=0, "⚪ Sin límite", IF(E5&lt;=0.8, "🟢 En regla", IF(E5&lt;=1, "🟡 Al Límite", "🔴 Excedido")))</f>
        <v>🟢 En regla</v>
      </c>
      <c r="H5" s="177" t="str">
        <f t="shared" ref="H5:H13" si="5">IF(B5=0, "Monitorear sin restricción", IF(E5&gt;1, "Frenar gastos de inmediato", IF(E5&gt;0.8, "Gastar solo en lo indispensable", "Consumo en rango normal")))</f>
        <v>Consumo en rango normal</v>
      </c>
    </row>
    <row r="6" ht="22.5" customHeight="1">
      <c r="A6" s="178" t="s">
        <v>50</v>
      </c>
      <c r="B6" s="179">
        <v>900000.0</v>
      </c>
      <c r="C6" s="121">
        <f>PANEL!C21</f>
        <v>0</v>
      </c>
      <c r="D6" s="179">
        <f t="shared" si="1"/>
        <v>900000</v>
      </c>
      <c r="E6" s="200">
        <f t="shared" si="2"/>
        <v>0</v>
      </c>
      <c r="F6" s="201" t="str">
        <f t="shared" si="3"/>
        <v>░░░░░░░░░░</v>
      </c>
      <c r="G6" s="119" t="str">
        <f t="shared" si="4"/>
        <v>🟢 En regla</v>
      </c>
      <c r="H6" s="181" t="str">
        <f t="shared" si="5"/>
        <v>Consumo en rango normal</v>
      </c>
    </row>
    <row r="7" ht="22.5" customHeight="1">
      <c r="A7" s="174" t="s">
        <v>52</v>
      </c>
      <c r="B7" s="175">
        <v>300000.0</v>
      </c>
      <c r="C7" s="113">
        <f>PANEL!C22</f>
        <v>0</v>
      </c>
      <c r="D7" s="175">
        <f t="shared" si="1"/>
        <v>300000</v>
      </c>
      <c r="E7" s="198">
        <f t="shared" si="2"/>
        <v>0</v>
      </c>
      <c r="F7" s="199" t="str">
        <f t="shared" si="3"/>
        <v>░░░░░░░░░░</v>
      </c>
      <c r="G7" s="111" t="str">
        <f t="shared" si="4"/>
        <v>🟢 En regla</v>
      </c>
      <c r="H7" s="177" t="str">
        <f t="shared" si="5"/>
        <v>Consumo en rango normal</v>
      </c>
    </row>
    <row r="8" ht="22.5" customHeight="1">
      <c r="A8" s="178" t="s">
        <v>54</v>
      </c>
      <c r="B8" s="179">
        <v>240000.0</v>
      </c>
      <c r="C8" s="121">
        <f>PANEL!C23</f>
        <v>116000</v>
      </c>
      <c r="D8" s="179">
        <f t="shared" si="1"/>
        <v>124000</v>
      </c>
      <c r="E8" s="200">
        <f t="shared" si="2"/>
        <v>0.4833333333</v>
      </c>
      <c r="F8" s="201" t="str">
        <f t="shared" si="3"/>
        <v>█████░░░░░</v>
      </c>
      <c r="G8" s="119" t="str">
        <f t="shared" si="4"/>
        <v>🟢 En regla</v>
      </c>
      <c r="H8" s="181" t="str">
        <f t="shared" si="5"/>
        <v>Consumo en rango normal</v>
      </c>
    </row>
    <row r="9" ht="22.5" customHeight="1">
      <c r="A9" s="174" t="s">
        <v>56</v>
      </c>
      <c r="B9" s="175">
        <v>50000.0</v>
      </c>
      <c r="C9" s="113">
        <f>PANEL!C24</f>
        <v>67000</v>
      </c>
      <c r="D9" s="175">
        <f t="shared" si="1"/>
        <v>-17000</v>
      </c>
      <c r="E9" s="198">
        <f t="shared" si="2"/>
        <v>1.34</v>
      </c>
      <c r="F9" s="199" t="str">
        <f t="shared" si="3"/>
        <v>██████████</v>
      </c>
      <c r="G9" s="111" t="str">
        <f t="shared" si="4"/>
        <v>🔴 Excedido</v>
      </c>
      <c r="H9" s="177" t="str">
        <f t="shared" si="5"/>
        <v>Frenar gastos de inmediato</v>
      </c>
    </row>
    <row r="10" ht="22.5" customHeight="1">
      <c r="A10" s="178" t="s">
        <v>58</v>
      </c>
      <c r="B10" s="179">
        <v>100000.0</v>
      </c>
      <c r="C10" s="121">
        <f>PANEL!C25</f>
        <v>14023</v>
      </c>
      <c r="D10" s="179">
        <f t="shared" si="1"/>
        <v>85977</v>
      </c>
      <c r="E10" s="200">
        <f t="shared" si="2"/>
        <v>0.14023</v>
      </c>
      <c r="F10" s="201" t="str">
        <f t="shared" si="3"/>
        <v>█░░░░░░░░░</v>
      </c>
      <c r="G10" s="119" t="str">
        <f t="shared" si="4"/>
        <v>🟢 En regla</v>
      </c>
      <c r="H10" s="181" t="str">
        <f t="shared" si="5"/>
        <v>Consumo en rango normal</v>
      </c>
    </row>
    <row r="11" ht="22.5" customHeight="1">
      <c r="A11" s="174" t="s">
        <v>60</v>
      </c>
      <c r="B11" s="175">
        <v>0.0</v>
      </c>
      <c r="C11" s="113">
        <f>PANEL!C26</f>
        <v>10100</v>
      </c>
      <c r="D11" s="175">
        <f t="shared" si="1"/>
        <v>0</v>
      </c>
      <c r="E11" s="198">
        <f t="shared" si="2"/>
        <v>0</v>
      </c>
      <c r="F11" s="199" t="str">
        <f t="shared" si="3"/>
        <v>░░░░░░░░░░ (Libre)</v>
      </c>
      <c r="G11" s="111" t="str">
        <f t="shared" si="4"/>
        <v>⚪ Sin límite</v>
      </c>
      <c r="H11" s="177" t="str">
        <f t="shared" si="5"/>
        <v>Monitorear sin restricción</v>
      </c>
    </row>
    <row r="12" ht="22.5" customHeight="1">
      <c r="A12" s="178" t="s">
        <v>62</v>
      </c>
      <c r="B12" s="179">
        <v>0.0</v>
      </c>
      <c r="C12" s="121">
        <f>PANEL!C27</f>
        <v>0</v>
      </c>
      <c r="D12" s="179">
        <f t="shared" si="1"/>
        <v>0</v>
      </c>
      <c r="E12" s="200">
        <f t="shared" si="2"/>
        <v>0</v>
      </c>
      <c r="F12" s="201" t="str">
        <f t="shared" si="3"/>
        <v>░░░░░░░░░░ (Libre)</v>
      </c>
      <c r="G12" s="119" t="str">
        <f t="shared" si="4"/>
        <v>⚪ Sin límite</v>
      </c>
      <c r="H12" s="181" t="str">
        <f t="shared" si="5"/>
        <v>Monitorear sin restricción</v>
      </c>
    </row>
    <row r="13" ht="22.5" customHeight="1">
      <c r="A13" s="174" t="s">
        <v>64</v>
      </c>
      <c r="B13" s="175">
        <v>0.0</v>
      </c>
      <c r="C13" s="113">
        <f>PANEL!C28</f>
        <v>0</v>
      </c>
      <c r="D13" s="175">
        <f t="shared" si="1"/>
        <v>0</v>
      </c>
      <c r="E13" s="198">
        <f t="shared" si="2"/>
        <v>0</v>
      </c>
      <c r="F13" s="199" t="str">
        <f t="shared" si="3"/>
        <v>░░░░░░░░░░ (Libre)</v>
      </c>
      <c r="G13" s="111" t="str">
        <f t="shared" si="4"/>
        <v>⚪ Sin límite</v>
      </c>
      <c r="H13" s="177" t="str">
        <f t="shared" si="5"/>
        <v>Monitorear sin restricción</v>
      </c>
    </row>
    <row r="14" ht="25.5" customHeight="1">
      <c r="A14" s="56" t="s">
        <v>937</v>
      </c>
      <c r="B14" s="57">
        <f t="shared" ref="B14:C14" si="6">SUM(B5:B13)</f>
        <v>2390000</v>
      </c>
      <c r="C14" s="57">
        <f t="shared" si="6"/>
        <v>207123</v>
      </c>
      <c r="D14" s="57">
        <f t="shared" si="1"/>
        <v>2182877</v>
      </c>
      <c r="E14" s="202">
        <f t="shared" si="2"/>
        <v>0.0866623431</v>
      </c>
      <c r="F14" s="59" t="str">
        <f>IF(B14=0, "░░░░░░░░░░", REPT("█", MIN(10, ROUND(E14*10, 0))) &amp; REPT("░", MAX(0, 10-MIN(10, ROUND(E14*10, 0)))))</f>
        <v>█░░░░░░░░░</v>
      </c>
      <c r="G14" s="59" t="str">
        <f t="shared" si="4"/>
        <v>🟢 En regla</v>
      </c>
      <c r="H14" s="203" t="s">
        <v>938</v>
      </c>
    </row>
    <row r="15">
      <c r="A15" s="104"/>
      <c r="B15" s="104"/>
      <c r="C15" s="104"/>
      <c r="D15" s="104"/>
      <c r="E15" s="104"/>
      <c r="F15" s="104"/>
      <c r="G15" s="104"/>
      <c r="H15" s="10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G5:G14">
    <cfRule type="expression" dxfId="0" priority="1">
      <formula>ISNUMBER(SEARCH("🟢", G5))</formula>
    </cfRule>
  </conditionalFormatting>
  <conditionalFormatting sqref="G5:G14">
    <cfRule type="expression" dxfId="0" priority="2">
      <formula>ISNUMBER(SEARCH("✅", G5))</formula>
    </cfRule>
  </conditionalFormatting>
  <conditionalFormatting sqref="G5:G14">
    <cfRule type="expression" dxfId="1" priority="3">
      <formula>ISNUMBER(SEARCH("🔴", G5))</formula>
    </cfRule>
  </conditionalFormatting>
  <conditionalFormatting sqref="G5:G14">
    <cfRule type="expression" dxfId="1" priority="4">
      <formula>ISNUMBER(SEARCH("🚨", G5))</formula>
    </cfRule>
  </conditionalFormatting>
  <conditionalFormatting sqref="G5:G14">
    <cfRule type="expression" dxfId="2" priority="5">
      <formula>ISNUMBER(SEARCH("🟡", G5))</formula>
    </cfRule>
  </conditionalFormatting>
  <conditionalFormatting sqref="G5:G14">
    <cfRule type="expression" dxfId="2" priority="6">
      <formula>ISNUMBER(SEARCH("⚠️", G5))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4" width="20.0"/>
    <col customWidth="1" min="5" max="5" width="21.0"/>
    <col customWidth="1" min="6" max="6" width="20.0"/>
    <col customWidth="1" min="7" max="7" width="19.0"/>
  </cols>
  <sheetData>
    <row r="1" ht="39.75" customHeight="1">
      <c r="A1" s="2" t="s">
        <v>939</v>
      </c>
      <c r="B1" s="3"/>
      <c r="C1" s="3"/>
      <c r="D1" s="3"/>
      <c r="E1" s="3"/>
      <c r="F1" s="3"/>
      <c r="G1" s="4"/>
    </row>
    <row r="2" ht="24.0" customHeight="1">
      <c r="A2" s="9" t="s">
        <v>940</v>
      </c>
      <c r="B2" s="3"/>
      <c r="C2" s="3"/>
      <c r="D2" s="3"/>
      <c r="E2" s="3"/>
      <c r="F2" s="3"/>
      <c r="G2" s="4"/>
    </row>
    <row r="3" ht="9.75" customHeight="1">
      <c r="A3" s="104"/>
      <c r="B3" s="104"/>
      <c r="C3" s="104"/>
      <c r="D3" s="104"/>
      <c r="E3" s="104"/>
      <c r="F3" s="104"/>
      <c r="G3" s="104"/>
    </row>
    <row r="4" ht="27.75" customHeight="1">
      <c r="A4" s="139" t="s">
        <v>941</v>
      </c>
      <c r="B4" s="140" t="s">
        <v>942</v>
      </c>
      <c r="C4" s="140" t="s">
        <v>943</v>
      </c>
      <c r="D4" s="140" t="s">
        <v>944</v>
      </c>
      <c r="E4" s="140" t="s">
        <v>945</v>
      </c>
      <c r="F4" s="140" t="s">
        <v>946</v>
      </c>
      <c r="G4" s="141" t="s">
        <v>947</v>
      </c>
    </row>
    <row r="5" ht="21.75" customHeight="1">
      <c r="A5" s="40" t="s">
        <v>948</v>
      </c>
      <c r="B5" s="41">
        <f>IFERROR(SUMIFS('COLILLAS DE PAGO'!$O$4:$O$22, 'COLILLAS DE PAGO'!$B$4:$B$22, "enero", 'COLILLAS DE PAGO'!$C$4:$C$22, PANEL!$I$2) + SUMIFS(MOVIMIENTOS!$H$4:$H$246, MOVIMIENTOS!$D$4:$D$246, "Ingreso", MOVIMIENTOS!$E$4:$E$246, "&lt;&gt;Salario", MOVIMIENTOS!$K$4:$K$246, "enero", MOVIMIENTOS!$L$4:$L$246, PANEL!$I$2), 0)</f>
        <v>3842222</v>
      </c>
      <c r="C5" s="41">
        <f>IFERROR(SUMIFS(MOVIMIENTOS!$H$4:$H$246, MOVIMIENTOS!$D$4:$D$246, "Gasto", MOVIMIENTOS!$K$4:$K$246, "enero", MOVIMIENTOS!$L$4:$L$246, PANEL!$I$2), 0)</f>
        <v>1359128</v>
      </c>
      <c r="D5" s="41">
        <f>IFERROR(SUMIFS(AHORROS!$E$14:$E$87, AHORROS!$F$14:$F$87, "enero", AHORROS!$G$14:$G$87, PANEL!$I$2), 0)</f>
        <v>381133</v>
      </c>
      <c r="E5" s="43">
        <f t="shared" ref="E5:E16" si="1">B5-C5</f>
        <v>2483094</v>
      </c>
      <c r="F5" s="67">
        <f t="shared" ref="F5:F17" si="2">IF(B5=0, 0, D5/B5)</f>
        <v>0.09919598607</v>
      </c>
      <c r="G5" s="85" t="str">
        <f t="shared" ref="G5:G16" si="3">IF(AND(B5=0, C5=0), "⚪ Proyectado", IF(E5&gt;0, "🟢 Superávit", "🔴 Déficit"))</f>
        <v>🟢 Superávit</v>
      </c>
    </row>
    <row r="6" ht="21.75" customHeight="1">
      <c r="A6" s="48" t="s">
        <v>949</v>
      </c>
      <c r="B6" s="49">
        <f>IFERROR(SUMIFS('COLILLAS DE PAGO'!$O$4:$O$22, 'COLILLAS DE PAGO'!$B$4:$B$22, "febrero", 'COLILLAS DE PAGO'!$C$4:$C$22, PANEL!$I$2) + SUMIFS(MOVIMIENTOS!$H$4:$H$246, MOVIMIENTOS!$D$4:$D$246, "Ingreso", MOVIMIENTOS!$E$4:$E$246, "&lt;&gt;Salario", MOVIMIENTOS!$K$4:$K$246, "febrero", MOVIMIENTOS!$L$4:$L$246, PANEL!$I$2), 0)</f>
        <v>2733672</v>
      </c>
      <c r="C6" s="49">
        <f>IFERROR(SUMIFS(MOVIMIENTOS!$H$4:$H$246, MOVIMIENTOS!$D$4:$D$246, "Gasto", MOVIMIENTOS!$K$4:$K$246, "febrero", MOVIMIENTOS!$L$4:$L$246, PANEL!$I$2), 0)</f>
        <v>2296000</v>
      </c>
      <c r="D6" s="49">
        <f>IFERROR(SUMIFS(AHORROS!$E$14:$E$87, AHORROS!$F$14:$F$87, "febrero", AHORROS!$G$14:$G$87, PANEL!$I$2), 0)</f>
        <v>381134</v>
      </c>
      <c r="E6" s="52">
        <f t="shared" si="1"/>
        <v>437672</v>
      </c>
      <c r="F6" s="72">
        <f t="shared" si="2"/>
        <v>0.1394219936</v>
      </c>
      <c r="G6" s="87" t="str">
        <f t="shared" si="3"/>
        <v>🟢 Superávit</v>
      </c>
    </row>
    <row r="7" ht="21.75" customHeight="1">
      <c r="A7" s="40" t="s">
        <v>950</v>
      </c>
      <c r="B7" s="41">
        <f>IFERROR(SUMIFS('COLILLAS DE PAGO'!$O$4:$O$22, 'COLILLAS DE PAGO'!$B$4:$B$22, "marzo", 'COLILLAS DE PAGO'!$C$4:$C$22, PANEL!$I$2) + SUMIFS(MOVIMIENTOS!$H$4:$H$246, MOVIMIENTOS!$D$4:$D$246, "Ingreso", MOVIMIENTOS!$E$4:$E$246, "&lt;&gt;Salario", MOVIMIENTOS!$K$4:$K$246, "marzo", MOVIMIENTOS!$L$4:$L$246, PANEL!$I$2), 0)</f>
        <v>3509411</v>
      </c>
      <c r="C7" s="41">
        <f>IFERROR(SUMIFS(MOVIMIENTOS!$H$4:$H$246, MOVIMIENTOS!$D$4:$D$246, "Gasto", MOVIMIENTOS!$K$4:$K$246, "marzo", MOVIMIENTOS!$L$4:$L$246, PANEL!$I$2), 0)</f>
        <v>2814000</v>
      </c>
      <c r="D7" s="41">
        <f>IFERROR(SUMIFS(AHORROS!$E$14:$E$87, AHORROS!$F$14:$F$87, "marzo", AHORROS!$G$14:$G$87, PANEL!$I$2), 0)</f>
        <v>472242</v>
      </c>
      <c r="E7" s="43">
        <f t="shared" si="1"/>
        <v>695411</v>
      </c>
      <c r="F7" s="67">
        <f t="shared" si="2"/>
        <v>0.1345644611</v>
      </c>
      <c r="G7" s="85" t="str">
        <f t="shared" si="3"/>
        <v>🟢 Superávit</v>
      </c>
    </row>
    <row r="8" ht="21.75" customHeight="1">
      <c r="A8" s="48" t="s">
        <v>951</v>
      </c>
      <c r="B8" s="49">
        <f>IFERROR(SUMIFS('COLILLAS DE PAGO'!$O$4:$O$22, 'COLILLAS DE PAGO'!$B$4:$B$22, "abril", 'COLILLAS DE PAGO'!$C$4:$C$22, PANEL!$I$2) + SUMIFS(MOVIMIENTOS!$H$4:$H$246, MOVIMIENTOS!$D$4:$D$246, "Ingreso", MOVIMIENTOS!$E$4:$E$246, "&lt;&gt;Salario", MOVIMIENTOS!$K$4:$K$246, "abril", MOVIMIENTOS!$L$4:$L$246, PANEL!$I$2), 0)</f>
        <v>3494112</v>
      </c>
      <c r="C8" s="49">
        <f>IFERROR(SUMIFS(MOVIMIENTOS!$H$4:$H$246, MOVIMIENTOS!$D$4:$D$246, "Gasto", MOVIMIENTOS!$K$4:$K$246, "abril", MOVIMIENTOS!$L$4:$L$246, PANEL!$I$2), 0)</f>
        <v>3129946</v>
      </c>
      <c r="D8" s="49">
        <f>IFERROR(SUMIFS(AHORROS!$E$14:$E$87, AHORROS!$F$14:$F$87, "abril", AHORROS!$G$14:$G$87, PANEL!$I$2), 0)</f>
        <v>472242</v>
      </c>
      <c r="E8" s="52">
        <f t="shared" si="1"/>
        <v>364166</v>
      </c>
      <c r="F8" s="72">
        <f t="shared" si="2"/>
        <v>0.1351536528</v>
      </c>
      <c r="G8" s="87" t="str">
        <f t="shared" si="3"/>
        <v>🟢 Superávit</v>
      </c>
    </row>
    <row r="9" ht="21.75" customHeight="1">
      <c r="A9" s="40" t="s">
        <v>952</v>
      </c>
      <c r="B9" s="41">
        <f>IFERROR(SUMIFS('COLILLAS DE PAGO'!$O$4:$O$22, 'COLILLAS DE PAGO'!$B$4:$B$22, "mayo", 'COLILLAS DE PAGO'!$C$4:$C$22, PANEL!$I$2) + SUMIFS(MOVIMIENTOS!$H$4:$H$246, MOVIMIENTOS!$D$4:$D$246, "Ingreso", MOVIMIENTOS!$E$4:$E$246, "&lt;&gt;Salario", MOVIMIENTOS!$K$4:$K$246, "mayo", MOVIMIENTOS!$L$4:$L$246, PANEL!$I$2), 0)</f>
        <v>3163753</v>
      </c>
      <c r="C9" s="41">
        <f>IFERROR(SUMIFS(MOVIMIENTOS!$H$4:$H$246, MOVIMIENTOS!$D$4:$D$246, "Gasto", MOVIMIENTOS!$K$4:$K$246, "mayo", MOVIMIENTOS!$L$4:$L$246, PANEL!$I$2), 0)</f>
        <v>2829200</v>
      </c>
      <c r="D9" s="41">
        <f>IFERROR(SUMIFS(AHORROS!$E$14:$E$87, AHORROS!$F$14:$F$87, "mayo", AHORROS!$G$14:$G$87, PANEL!$I$2), 0)</f>
        <v>426688</v>
      </c>
      <c r="E9" s="43">
        <f t="shared" si="1"/>
        <v>334553</v>
      </c>
      <c r="F9" s="67">
        <f t="shared" si="2"/>
        <v>0.1348676714</v>
      </c>
      <c r="G9" s="85" t="str">
        <f t="shared" si="3"/>
        <v>🟢 Superávit</v>
      </c>
    </row>
    <row r="10" ht="21.75" customHeight="1">
      <c r="A10" s="48" t="s">
        <v>953</v>
      </c>
      <c r="B10" s="49">
        <f>IFERROR(SUMIFS('COLILLAS DE PAGO'!$O$4:$O$22, 'COLILLAS DE PAGO'!$B$4:$B$22, "junio", 'COLILLAS DE PAGO'!$C$4:$C$22, PANEL!$I$2) + SUMIFS(MOVIMIENTOS!$H$4:$H$246, MOVIMIENTOS!$D$4:$D$246, "Ingreso", MOVIMIENTOS!$E$4:$E$246, "&lt;&gt;Salario", MOVIMIENTOS!$K$4:$K$246, "junio", MOVIMIENTOS!$L$4:$L$246, PANEL!$I$2), 0)</f>
        <v>5458114</v>
      </c>
      <c r="C10" s="49">
        <f>IFERROR(SUMIFS(MOVIMIENTOS!$H$4:$H$246, MOVIMIENTOS!$D$4:$D$246, "Gasto", MOVIMIENTOS!$K$4:$K$246, "junio", MOVIMIENTOS!$L$4:$L$246, PANEL!$I$2), 0)</f>
        <v>3892812</v>
      </c>
      <c r="D10" s="49">
        <f>IFERROR(SUMIFS(AHORROS!$E$14:$E$87, AHORROS!$F$14:$F$87, "junio", AHORROS!$G$14:$G$87, PANEL!$I$2), 0)</f>
        <v>472242</v>
      </c>
      <c r="E10" s="52">
        <f t="shared" si="1"/>
        <v>1565302</v>
      </c>
      <c r="F10" s="72">
        <f t="shared" si="2"/>
        <v>0.08652109502</v>
      </c>
      <c r="G10" s="87" t="str">
        <f t="shared" si="3"/>
        <v>🟢 Superávit</v>
      </c>
    </row>
    <row r="11" ht="21.75" customHeight="1">
      <c r="A11" s="40" t="s">
        <v>954</v>
      </c>
      <c r="B11" s="41">
        <f>IFERROR(SUMIFS('COLILLAS DE PAGO'!$O$4:$O$22, 'COLILLAS DE PAGO'!$B$4:$B$22, "julio", 'COLILLAS DE PAGO'!$C$4:$C$22, PANEL!$I$2) + SUMIFS(MOVIMIENTOS!$H$4:$H$246, MOVIMIENTOS!$D$4:$D$246, "Ingreso", MOVIMIENTOS!$E$4:$E$246, "&lt;&gt;Salario", MOVIMIENTOS!$K$4:$K$246, "julio", MOVIMIENTOS!$L$4:$L$246, PANEL!$I$2), 0)</f>
        <v>3172191</v>
      </c>
      <c r="C11" s="41">
        <f>IFERROR(SUMIFS(MOVIMIENTOS!$H$4:$H$246, MOVIMIENTOS!$D$4:$D$246, "Gasto", MOVIMIENTOS!$K$4:$K$246, "julio", MOVIMIENTOS!$L$4:$L$246, PANEL!$I$2), 0)</f>
        <v>2546900</v>
      </c>
      <c r="D11" s="41">
        <f>IFERROR(SUMIFS(AHORROS!$E$14:$E$87, AHORROS!$F$14:$F$87, "julio", AHORROS!$G$14:$G$87, PANEL!$I$2), 0)</f>
        <v>381134</v>
      </c>
      <c r="E11" s="43">
        <f t="shared" si="1"/>
        <v>625291</v>
      </c>
      <c r="F11" s="67">
        <f t="shared" si="2"/>
        <v>0.120148503</v>
      </c>
      <c r="G11" s="85" t="str">
        <f t="shared" si="3"/>
        <v>🟢 Superávit</v>
      </c>
    </row>
    <row r="12" ht="21.75" customHeight="1">
      <c r="A12" s="48" t="s">
        <v>955</v>
      </c>
      <c r="B12" s="49">
        <f>IFERROR(SUMIFS('COLILLAS DE PAGO'!$O$4:$O$22, 'COLILLAS DE PAGO'!$B$4:$B$22, "agosto", 'COLILLAS DE PAGO'!$C$4:$C$22, PANEL!$I$2) + SUMIFS(MOVIMIENTOS!$H$4:$H$246, MOVIMIENTOS!$D$4:$D$246, "Ingreso", MOVIMIENTOS!$E$4:$E$246, "&lt;&gt;Salario", MOVIMIENTOS!$K$4:$K$246, "agosto", MOVIMIENTOS!$L$4:$L$246, PANEL!$I$2), 0)</f>
        <v>3735393</v>
      </c>
      <c r="C12" s="49">
        <f>IFERROR(SUMIFS(MOVIMIENTOS!$H$4:$H$246, MOVIMIENTOS!$D$4:$D$246, "Gasto", MOVIMIENTOS!$K$4:$K$246, "agosto", MOVIMIENTOS!$L$4:$L$246, PANEL!$I$2), 0)</f>
        <v>1668936</v>
      </c>
      <c r="D12" s="49">
        <f>IFERROR(SUMIFS(AHORROS!$E$14:$E$87, AHORROS!$F$14:$F$87, "agosto", AHORROS!$G$14:$G$87, PANEL!$I$2), 0)</f>
        <v>426688</v>
      </c>
      <c r="E12" s="52">
        <f t="shared" si="1"/>
        <v>2066457</v>
      </c>
      <c r="F12" s="72">
        <f t="shared" si="2"/>
        <v>0.1142284092</v>
      </c>
      <c r="G12" s="87" t="str">
        <f t="shared" si="3"/>
        <v>🟢 Superávit</v>
      </c>
    </row>
    <row r="13" ht="21.75" customHeight="1">
      <c r="A13" s="40" t="s">
        <v>956</v>
      </c>
      <c r="B13" s="41">
        <f>IFERROR(SUMIFS('COLILLAS DE PAGO'!$O$4:$O$22, 'COLILLAS DE PAGO'!$B$4:$B$22, "septiembre", 'COLILLAS DE PAGO'!$C$4:$C$22, PANEL!$I$2) + SUMIFS(MOVIMIENTOS!$H$4:$H$246, MOVIMIENTOS!$D$4:$D$246, "Ingreso", MOVIMIENTOS!$E$4:$E$246, "&lt;&gt;Salario", MOVIMIENTOS!$K$4:$K$246, "septiembre", MOVIMIENTOS!$L$4:$L$246, PANEL!$I$2), 0)</f>
        <v>3343005</v>
      </c>
      <c r="C13" s="41">
        <f>IFERROR(SUMIFS(MOVIMIENTOS!$H$4:$H$246, MOVIMIENTOS!$D$4:$D$246, "Gasto", MOVIMIENTOS!$K$4:$K$246, "septiembre", MOVIMIENTOS!$L$4:$L$246, PANEL!$I$2), 0)</f>
        <v>2206444</v>
      </c>
      <c r="D13" s="41">
        <f>IFERROR(SUMIFS(AHORROS!$E$14:$E$87, AHORROS!$F$14:$F$87, "septiembre", AHORROS!$G$14:$G$87, PANEL!$I$2), 0)</f>
        <v>517796</v>
      </c>
      <c r="E13" s="43">
        <f t="shared" si="1"/>
        <v>1136561</v>
      </c>
      <c r="F13" s="67">
        <f t="shared" si="2"/>
        <v>0.1548893884</v>
      </c>
      <c r="G13" s="85" t="str">
        <f t="shared" si="3"/>
        <v>🟢 Superávit</v>
      </c>
    </row>
    <row r="14" ht="21.75" customHeight="1">
      <c r="A14" s="48" t="s">
        <v>957</v>
      </c>
      <c r="B14" s="49">
        <f>IFERROR(SUMIFS('COLILLAS DE PAGO'!$O$4:$O$22, 'COLILLAS DE PAGO'!$B$4:$B$22, "octubre", 'COLILLAS DE PAGO'!$C$4:$C$22, PANEL!$I$2) + SUMIFS(MOVIMIENTOS!$H$4:$H$246, MOVIMIENTOS!$D$4:$D$246, "Ingreso", MOVIMIENTOS!$E$4:$E$246, "&lt;&gt;Salario", MOVIMIENTOS!$K$4:$K$246, "octubre", MOVIMIENTOS!$L$4:$L$246, PANEL!$I$2), 0)</f>
        <v>0</v>
      </c>
      <c r="C14" s="49">
        <f>IFERROR(SUMIFS(MOVIMIENTOS!$H$4:$H$246, MOVIMIENTOS!$D$4:$D$246, "Gasto", MOVIMIENTOS!$K$4:$K$246, "octubre", MOVIMIENTOS!$L$4:$L$246, PANEL!$I$2), 0)</f>
        <v>207123</v>
      </c>
      <c r="D14" s="49">
        <f>IFERROR(SUMIFS(AHORROS!$E$14:$E$87, AHORROS!$F$14:$F$87, "octubre", AHORROS!$G$14:$G$87, PANEL!$I$2), 0)</f>
        <v>0</v>
      </c>
      <c r="E14" s="52">
        <f t="shared" si="1"/>
        <v>-207123</v>
      </c>
      <c r="F14" s="72">
        <f t="shared" si="2"/>
        <v>0</v>
      </c>
      <c r="G14" s="87" t="str">
        <f t="shared" si="3"/>
        <v>🔴 Déficit</v>
      </c>
    </row>
    <row r="15" ht="21.75" customHeight="1">
      <c r="A15" s="40" t="s">
        <v>958</v>
      </c>
      <c r="B15" s="41">
        <f>IFERROR(SUMIFS('COLILLAS DE PAGO'!$O$4:$O$22, 'COLILLAS DE PAGO'!$B$4:$B$22, "noviembre", 'COLILLAS DE PAGO'!$C$4:$C$22, PANEL!$I$2) + SUMIFS(MOVIMIENTOS!$H$4:$H$246, MOVIMIENTOS!$D$4:$D$246, "Ingreso", MOVIMIENTOS!$E$4:$E$246, "&lt;&gt;Salario", MOVIMIENTOS!$K$4:$K$246, "noviembre", MOVIMIENTOS!$L$4:$L$246, PANEL!$I$2), 0)</f>
        <v>0</v>
      </c>
      <c r="C15" s="41">
        <f>IFERROR(SUMIFS(MOVIMIENTOS!$H$4:$H$246, MOVIMIENTOS!$D$4:$D$246, "Gasto", MOVIMIENTOS!$K$4:$K$246, "noviembre", MOVIMIENTOS!$L$4:$L$246, PANEL!$I$2), 0)</f>
        <v>0</v>
      </c>
      <c r="D15" s="41">
        <f>IFERROR(SUMIFS(AHORROS!$E$14:$E$87, AHORROS!$F$14:$F$87, "noviembre", AHORROS!$G$14:$G$87, PANEL!$I$2), 0)</f>
        <v>0</v>
      </c>
      <c r="E15" s="43">
        <f t="shared" si="1"/>
        <v>0</v>
      </c>
      <c r="F15" s="67">
        <f t="shared" si="2"/>
        <v>0</v>
      </c>
      <c r="G15" s="85" t="str">
        <f t="shared" si="3"/>
        <v>⚪ Proyectado</v>
      </c>
    </row>
    <row r="16" ht="21.75" customHeight="1">
      <c r="A16" s="48" t="s">
        <v>959</v>
      </c>
      <c r="B16" s="49">
        <f>IFERROR(SUMIFS('COLILLAS DE PAGO'!$O$4:$O$22, 'COLILLAS DE PAGO'!$B$4:$B$22, "diciembre", 'COLILLAS DE PAGO'!$C$4:$C$22, PANEL!$I$2) + SUMIFS(MOVIMIENTOS!$H$4:$H$246, MOVIMIENTOS!$D$4:$D$246, "Ingreso", MOVIMIENTOS!$E$4:$E$246, "&lt;&gt;Salario", MOVIMIENTOS!$K$4:$K$246, "diciembre", MOVIMIENTOS!$L$4:$L$246, PANEL!$I$2), 0)</f>
        <v>0</v>
      </c>
      <c r="C16" s="49">
        <f>IFERROR(SUMIFS(MOVIMIENTOS!$H$4:$H$246, MOVIMIENTOS!$D$4:$D$246, "Gasto", MOVIMIENTOS!$K$4:$K$246, "diciembre", MOVIMIENTOS!$L$4:$L$246, PANEL!$I$2), 0)</f>
        <v>0</v>
      </c>
      <c r="D16" s="49">
        <f>IFERROR(SUMIFS(AHORROS!$E$14:$E$87, AHORROS!$F$14:$F$87, "diciembre", AHORROS!$G$14:$G$87, PANEL!$I$2), 0)</f>
        <v>0</v>
      </c>
      <c r="E16" s="52">
        <f t="shared" si="1"/>
        <v>0</v>
      </c>
      <c r="F16" s="72">
        <f t="shared" si="2"/>
        <v>0</v>
      </c>
      <c r="G16" s="87" t="str">
        <f t="shared" si="3"/>
        <v>⚪ Proyectado</v>
      </c>
    </row>
    <row r="17" ht="25.5" customHeight="1">
      <c r="A17" s="56" t="s">
        <v>960</v>
      </c>
      <c r="B17" s="57">
        <f t="shared" ref="B17:E17" si="4">SUM(B5:B16)</f>
        <v>32451873</v>
      </c>
      <c r="C17" s="57">
        <f t="shared" si="4"/>
        <v>22950489</v>
      </c>
      <c r="D17" s="57">
        <f t="shared" si="4"/>
        <v>3931299</v>
      </c>
      <c r="E17" s="57">
        <f t="shared" si="4"/>
        <v>9501384</v>
      </c>
      <c r="F17" s="202">
        <f t="shared" si="2"/>
        <v>0.1211424376</v>
      </c>
      <c r="G17" s="90" t="str">
        <f>IF(E17&gt;0, "🟢 SUPERÁVIT ANUAL", "🔴 DÉFICIT ANUAL")</f>
        <v>🟢 SUPERÁVIT ANUAL</v>
      </c>
    </row>
    <row r="18" ht="13.5" customHeight="1">
      <c r="A18" s="104"/>
      <c r="B18" s="104"/>
      <c r="C18" s="104"/>
      <c r="D18" s="104"/>
      <c r="E18" s="104"/>
      <c r="F18" s="104"/>
      <c r="G18" s="104"/>
    </row>
    <row r="19" ht="30.0" customHeight="1">
      <c r="A19" s="31" t="s">
        <v>961</v>
      </c>
      <c r="B19" s="33"/>
      <c r="C19" s="104"/>
      <c r="D19" s="104"/>
      <c r="E19" s="104"/>
      <c r="F19" s="104"/>
      <c r="G19" s="104"/>
    </row>
    <row r="20" ht="27.75" customHeight="1">
      <c r="A20" s="204" t="s">
        <v>41</v>
      </c>
      <c r="B20" s="205" t="s">
        <v>962</v>
      </c>
      <c r="C20" s="104"/>
      <c r="D20" s="104"/>
      <c r="E20" s="104"/>
      <c r="F20" s="104"/>
      <c r="G20" s="104"/>
    </row>
    <row r="21" ht="21.75" customHeight="1">
      <c r="A21" s="40" t="s">
        <v>48</v>
      </c>
      <c r="B21" s="206">
        <f>'PRESUPUESTO Y ALERTAS'!C5</f>
        <v>0</v>
      </c>
      <c r="C21" s="104"/>
      <c r="D21" s="104"/>
      <c r="E21" s="104"/>
      <c r="F21" s="104"/>
      <c r="G21" s="104"/>
    </row>
    <row r="22" ht="21.75" customHeight="1">
      <c r="A22" s="48" t="s">
        <v>50</v>
      </c>
      <c r="B22" s="207">
        <f>'PRESUPUESTO Y ALERTAS'!C6</f>
        <v>0</v>
      </c>
      <c r="C22" s="104"/>
      <c r="D22" s="104"/>
      <c r="E22" s="104"/>
      <c r="F22" s="104"/>
      <c r="G22" s="104"/>
    </row>
    <row r="23" ht="21.75" customHeight="1">
      <c r="A23" s="40" t="s">
        <v>52</v>
      </c>
      <c r="B23" s="206">
        <f>'PRESUPUESTO Y ALERTAS'!C7</f>
        <v>0</v>
      </c>
      <c r="C23" s="104"/>
      <c r="D23" s="104"/>
      <c r="E23" s="104"/>
      <c r="F23" s="104"/>
      <c r="G23" s="104"/>
    </row>
    <row r="24" ht="21.75" customHeight="1">
      <c r="A24" s="48" t="s">
        <v>54</v>
      </c>
      <c r="B24" s="207">
        <f>'PRESUPUESTO Y ALERTAS'!C8</f>
        <v>116000</v>
      </c>
      <c r="C24" s="104"/>
      <c r="D24" s="104"/>
      <c r="E24" s="104"/>
      <c r="F24" s="104"/>
      <c r="G24" s="104"/>
    </row>
    <row r="25" ht="21.75" customHeight="1">
      <c r="A25" s="40" t="s">
        <v>56</v>
      </c>
      <c r="B25" s="206">
        <f>'PRESUPUESTO Y ALERTAS'!C9</f>
        <v>67000</v>
      </c>
      <c r="C25" s="104"/>
      <c r="D25" s="104"/>
      <c r="E25" s="104"/>
      <c r="F25" s="104"/>
      <c r="G25" s="104"/>
    </row>
    <row r="26" ht="21.75" customHeight="1">
      <c r="A26" s="48" t="s">
        <v>58</v>
      </c>
      <c r="B26" s="207">
        <f>'PRESUPUESTO Y ALERTAS'!C10</f>
        <v>14023</v>
      </c>
      <c r="C26" s="104"/>
      <c r="D26" s="104"/>
      <c r="E26" s="104"/>
      <c r="F26" s="104"/>
      <c r="G26" s="104"/>
    </row>
    <row r="27" ht="21.75" customHeight="1">
      <c r="A27" s="40" t="s">
        <v>60</v>
      </c>
      <c r="B27" s="206">
        <f>'PRESUPUESTO Y ALERTAS'!C11</f>
        <v>10100</v>
      </c>
      <c r="C27" s="104"/>
      <c r="D27" s="104"/>
      <c r="E27" s="104"/>
      <c r="F27" s="104"/>
      <c r="G27" s="104"/>
    </row>
    <row r="28" ht="21.75" customHeight="1">
      <c r="A28" s="92" t="s">
        <v>62</v>
      </c>
      <c r="B28" s="208">
        <f>'PRESUPUESTO Y ALERTAS'!C12</f>
        <v>0</v>
      </c>
      <c r="C28" s="104"/>
      <c r="D28" s="104"/>
      <c r="E28" s="104"/>
      <c r="F28" s="104"/>
      <c r="G28" s="104"/>
    </row>
    <row r="29" ht="15.75" customHeight="1">
      <c r="A29" s="104"/>
      <c r="B29" s="104"/>
      <c r="C29" s="104"/>
      <c r="D29" s="104"/>
      <c r="E29" s="104"/>
      <c r="F29" s="104"/>
      <c r="G29" s="10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19:B19"/>
  </mergeCells>
  <conditionalFormatting sqref="G5:G17">
    <cfRule type="expression" dxfId="0" priority="1">
      <formula>ISNUMBER(SEARCH("🟢", G5))</formula>
    </cfRule>
  </conditionalFormatting>
  <conditionalFormatting sqref="G5:G17">
    <cfRule type="expression" dxfId="0" priority="2">
      <formula>ISNUMBER(SEARCH("✅", G5))</formula>
    </cfRule>
  </conditionalFormatting>
  <conditionalFormatting sqref="G5:G17">
    <cfRule type="expression" dxfId="1" priority="3">
      <formula>ISNUMBER(SEARCH("🔴", G5))</formula>
    </cfRule>
  </conditionalFormatting>
  <conditionalFormatting sqref="G5:G17">
    <cfRule type="expression" dxfId="1" priority="4">
      <formula>ISNUMBER(SEARCH("🚨", G5))</formula>
    </cfRule>
  </conditionalFormatting>
  <conditionalFormatting sqref="G5:G17">
    <cfRule type="expression" dxfId="2" priority="5">
      <formula>ISNUMBER(SEARCH("🟡", G5))</formula>
    </cfRule>
  </conditionalFormatting>
  <conditionalFormatting sqref="G5:G17">
    <cfRule type="expression" dxfId="2" priority="6">
      <formula>ISNUMBER(SEARCH("⚠️", G5))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3.43"/>
    <col customWidth="1" min="2" max="2" width="23.0"/>
    <col customWidth="1" min="3" max="3" width="34.0"/>
    <col customWidth="1" min="4" max="4" width="25.0"/>
    <col customWidth="1" min="5" max="5" width="23.0"/>
    <col customWidth="1" min="6" max="6" width="4.0"/>
    <col customWidth="1" min="7" max="7" width="20.0"/>
    <col customWidth="1" min="8" max="8" width="38.0"/>
    <col customWidth="1" min="9" max="9" width="26.0"/>
    <col customWidth="1" min="10" max="10" width="24.0"/>
    <col customWidth="1" min="11" max="11" width="21.0"/>
    <col customWidth="1" min="12" max="12" width="11.0"/>
  </cols>
  <sheetData>
    <row r="1" ht="39.75" customHeight="1">
      <c r="A1" s="2" t="s">
        <v>963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4.0" customHeight="1">
      <c r="A2" s="9" t="s">
        <v>964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ht="9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ht="19.5" customHeight="1">
      <c r="A4" s="104"/>
      <c r="B4" s="11" t="s">
        <v>965</v>
      </c>
      <c r="C4" s="13"/>
      <c r="D4" s="104"/>
      <c r="E4" s="14" t="s">
        <v>966</v>
      </c>
      <c r="F4" s="16"/>
      <c r="G4" s="104"/>
      <c r="H4" s="17" t="s">
        <v>967</v>
      </c>
      <c r="I4" s="19"/>
      <c r="J4" s="104"/>
      <c r="K4" s="20" t="s">
        <v>968</v>
      </c>
      <c r="L4" s="21"/>
    </row>
    <row r="5" ht="33.75" customHeight="1">
      <c r="A5" s="104"/>
      <c r="B5" s="22">
        <f>E15</f>
        <v>14822156</v>
      </c>
      <c r="C5" s="24"/>
      <c r="D5" s="104"/>
      <c r="E5" s="25">
        <f>J15</f>
        <v>2557000</v>
      </c>
      <c r="F5" s="24"/>
      <c r="G5" s="104"/>
      <c r="H5" s="26">
        <f>B5-E5</f>
        <v>12265156</v>
      </c>
      <c r="I5" s="24"/>
      <c r="J5" s="104"/>
      <c r="K5" s="209">
        <f>IF(PANEL!E6=0, 0, B5/PANEL!E6)</f>
        <v>71.56209595</v>
      </c>
      <c r="L5" s="24"/>
    </row>
    <row r="6" ht="9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</row>
    <row r="7" ht="30.0" customHeight="1">
      <c r="A7" s="104"/>
      <c r="B7" s="31" t="s">
        <v>969</v>
      </c>
      <c r="C7" s="32"/>
      <c r="D7" s="32"/>
      <c r="E7" s="33"/>
      <c r="F7" s="104"/>
      <c r="G7" s="31" t="s">
        <v>970</v>
      </c>
      <c r="H7" s="32"/>
      <c r="I7" s="32"/>
      <c r="J7" s="33"/>
      <c r="K7" s="104"/>
      <c r="L7" s="104"/>
    </row>
    <row r="8" ht="27.75" customHeight="1">
      <c r="A8" s="104"/>
      <c r="B8" s="34" t="s">
        <v>971</v>
      </c>
      <c r="C8" s="35" t="s">
        <v>972</v>
      </c>
      <c r="D8" s="35" t="s">
        <v>973</v>
      </c>
      <c r="E8" s="36" t="s">
        <v>974</v>
      </c>
      <c r="F8" s="104"/>
      <c r="G8" s="34" t="s">
        <v>975</v>
      </c>
      <c r="H8" s="35" t="s">
        <v>972</v>
      </c>
      <c r="I8" s="35" t="s">
        <v>976</v>
      </c>
      <c r="J8" s="36" t="s">
        <v>977</v>
      </c>
      <c r="K8" s="104"/>
      <c r="L8" s="104"/>
    </row>
    <row r="9" ht="21.75" customHeight="1">
      <c r="A9" s="104"/>
      <c r="B9" s="142" t="s">
        <v>978</v>
      </c>
      <c r="C9" s="145" t="s">
        <v>979</v>
      </c>
      <c r="D9" s="145" t="s">
        <v>980</v>
      </c>
      <c r="E9" s="206">
        <f>PANEL!J39</f>
        <v>3319057</v>
      </c>
      <c r="F9" s="104"/>
      <c r="G9" s="142" t="s">
        <v>981</v>
      </c>
      <c r="H9" s="145" t="s">
        <v>982</v>
      </c>
      <c r="I9" s="145" t="s">
        <v>983</v>
      </c>
      <c r="J9" s="206">
        <f>'CONTROL FIJOS'!G5</f>
        <v>2557000</v>
      </c>
      <c r="K9" s="104"/>
      <c r="L9" s="104"/>
    </row>
    <row r="10" ht="21.75" customHeight="1">
      <c r="A10" s="104"/>
      <c r="B10" s="127" t="s">
        <v>978</v>
      </c>
      <c r="C10" s="129" t="s">
        <v>984</v>
      </c>
      <c r="D10" s="129" t="s">
        <v>985</v>
      </c>
      <c r="E10" s="207">
        <f>PANEL!J40</f>
        <v>0</v>
      </c>
      <c r="F10" s="104"/>
      <c r="G10" s="127" t="s">
        <v>986</v>
      </c>
      <c r="H10" s="129" t="s">
        <v>987</v>
      </c>
      <c r="I10" s="129" t="s">
        <v>151</v>
      </c>
      <c r="J10" s="207">
        <v>0.0</v>
      </c>
      <c r="K10" s="104"/>
      <c r="L10" s="104"/>
    </row>
    <row r="11" ht="21.75" customHeight="1">
      <c r="A11" s="104"/>
      <c r="B11" s="142" t="s">
        <v>978</v>
      </c>
      <c r="C11" s="145" t="s">
        <v>988</v>
      </c>
      <c r="D11" s="145" t="s">
        <v>989</v>
      </c>
      <c r="E11" s="206">
        <f>PANEL!J41</f>
        <v>71800</v>
      </c>
      <c r="F11" s="104"/>
      <c r="G11" s="142" t="s">
        <v>990</v>
      </c>
      <c r="H11" s="145" t="s">
        <v>991</v>
      </c>
      <c r="I11" s="145" t="s">
        <v>992</v>
      </c>
      <c r="J11" s="206">
        <v>0.0</v>
      </c>
      <c r="K11" s="104"/>
      <c r="L11" s="104"/>
    </row>
    <row r="12" ht="21.75" customHeight="1">
      <c r="A12" s="104"/>
      <c r="B12" s="127" t="s">
        <v>993</v>
      </c>
      <c r="C12" s="129" t="s">
        <v>994</v>
      </c>
      <c r="D12" s="129" t="s">
        <v>995</v>
      </c>
      <c r="E12" s="207">
        <f>AHORROS!C12</f>
        <v>3931299</v>
      </c>
      <c r="F12" s="104"/>
      <c r="G12" s="127" t="s">
        <v>271</v>
      </c>
      <c r="H12" s="129" t="s">
        <v>996</v>
      </c>
      <c r="I12" s="129" t="s">
        <v>997</v>
      </c>
      <c r="J12" s="207">
        <v>0.0</v>
      </c>
      <c r="K12" s="104"/>
      <c r="L12" s="104"/>
    </row>
    <row r="13" ht="21.75" customHeight="1">
      <c r="A13" s="104"/>
      <c r="B13" s="142" t="s">
        <v>998</v>
      </c>
      <c r="C13" s="145" t="s">
        <v>999</v>
      </c>
      <c r="D13" s="145" t="s">
        <v>1000</v>
      </c>
      <c r="E13" s="206">
        <f>'CUENTAS POR COBRAR'!E5</f>
        <v>0</v>
      </c>
      <c r="F13" s="104"/>
      <c r="G13" s="142" t="s">
        <v>1001</v>
      </c>
      <c r="H13" s="145" t="s">
        <v>1002</v>
      </c>
      <c r="I13" s="145" t="s">
        <v>1001</v>
      </c>
      <c r="J13" s="206">
        <v>0.0</v>
      </c>
      <c r="K13" s="104"/>
      <c r="L13" s="104"/>
    </row>
    <row r="14" ht="21.75" customHeight="1">
      <c r="A14" s="104"/>
      <c r="B14" s="127" t="s">
        <v>1003</v>
      </c>
      <c r="C14" s="129" t="s">
        <v>1004</v>
      </c>
      <c r="D14" s="129" t="s">
        <v>1005</v>
      </c>
      <c r="E14" s="207">
        <v>7500000.0</v>
      </c>
      <c r="F14" s="104"/>
      <c r="G14" s="127" t="s">
        <v>1001</v>
      </c>
      <c r="H14" s="129" t="s">
        <v>1002</v>
      </c>
      <c r="I14" s="129" t="s">
        <v>1001</v>
      </c>
      <c r="J14" s="207">
        <v>0.0</v>
      </c>
      <c r="K14" s="104"/>
      <c r="L14" s="104"/>
    </row>
    <row r="15" ht="25.5" customHeight="1">
      <c r="A15" s="104"/>
      <c r="B15" s="77" t="s">
        <v>1006</v>
      </c>
      <c r="C15" s="61"/>
      <c r="D15" s="78"/>
      <c r="E15" s="210">
        <f>SUM(E9:E14)</f>
        <v>14822156</v>
      </c>
      <c r="F15" s="104"/>
      <c r="G15" s="77" t="s">
        <v>1007</v>
      </c>
      <c r="H15" s="61"/>
      <c r="I15" s="78"/>
      <c r="J15" s="210">
        <f>SUM(J9:J14)</f>
        <v>2557000</v>
      </c>
      <c r="K15" s="104"/>
      <c r="L15" s="104"/>
    </row>
    <row r="16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4:I4"/>
    <mergeCell ref="H5:I5"/>
    <mergeCell ref="G7:J7"/>
    <mergeCell ref="G15:I15"/>
    <mergeCell ref="B5:C5"/>
    <mergeCell ref="B7:E7"/>
    <mergeCell ref="B15:D15"/>
    <mergeCell ref="A1:L1"/>
    <mergeCell ref="A2:L2"/>
    <mergeCell ref="B4:C4"/>
    <mergeCell ref="E4:F4"/>
    <mergeCell ref="K4:L4"/>
    <mergeCell ref="E5:F5"/>
    <mergeCell ref="K5:L5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35.0"/>
    <col customWidth="1" min="3" max="3" width="20.0"/>
    <col customWidth="1" min="4" max="4" width="14.0"/>
    <col customWidth="1" min="5" max="5" width="19.0"/>
    <col customWidth="1" min="6" max="6" width="16.0"/>
    <col customWidth="1" min="7" max="7" width="24.0"/>
    <col customWidth="1" min="8" max="8" width="19.0"/>
    <col customWidth="1" min="9" max="9" width="22.0"/>
    <col customWidth="1" min="10" max="10" width="15.0"/>
    <col customWidth="1" min="11" max="11" width="13.0"/>
    <col customWidth="1" min="12" max="12" width="14.0"/>
    <col customWidth="1" min="13" max="13" width="20.0"/>
    <col customWidth="1" min="14" max="14" width="24.0"/>
    <col customWidth="1" min="15" max="15" width="46.0"/>
    <col customWidth="1" min="16" max="16" width="19.0"/>
  </cols>
  <sheetData>
    <row r="1" ht="39.75" customHeight="1">
      <c r="A1" s="2" t="s">
        <v>1008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24.0" customHeight="1">
      <c r="A2" s="9" t="s">
        <v>1009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27.75" customHeight="1">
      <c r="A3" s="139" t="s">
        <v>1010</v>
      </c>
      <c r="B3" s="140" t="s">
        <v>919</v>
      </c>
      <c r="C3" s="140" t="s">
        <v>41</v>
      </c>
      <c r="D3" s="140" t="s">
        <v>920</v>
      </c>
      <c r="E3" s="140" t="s">
        <v>921</v>
      </c>
      <c r="F3" s="140" t="s">
        <v>1011</v>
      </c>
      <c r="G3" s="140" t="s">
        <v>1012</v>
      </c>
      <c r="H3" s="140" t="s">
        <v>95</v>
      </c>
      <c r="I3" s="140" t="s">
        <v>1013</v>
      </c>
      <c r="J3" s="140" t="s">
        <v>130</v>
      </c>
      <c r="K3" s="140" t="s">
        <v>131</v>
      </c>
      <c r="L3" s="140" t="s">
        <v>925</v>
      </c>
      <c r="M3" s="140" t="s">
        <v>926</v>
      </c>
      <c r="N3" s="140" t="s">
        <v>924</v>
      </c>
      <c r="O3" s="140" t="s">
        <v>133</v>
      </c>
      <c r="P3" s="108" t="s">
        <v>134</v>
      </c>
    </row>
    <row r="4" ht="21.75" customHeight="1">
      <c r="A4" s="142" t="s">
        <v>1014</v>
      </c>
      <c r="B4" s="211" t="s">
        <v>691</v>
      </c>
      <c r="C4" s="145" t="s">
        <v>179</v>
      </c>
      <c r="D4" s="143">
        <v>15.0</v>
      </c>
      <c r="E4" s="43">
        <v>124000.0</v>
      </c>
      <c r="F4" s="41">
        <v>124000.0</v>
      </c>
      <c r="G4" s="144" t="s">
        <v>1015</v>
      </c>
      <c r="H4" s="68" t="str">
        <f t="shared" ref="H4:H204" si="1">IF(ISBLANK(A4),"",IF(N(F4)&gt;=E4,"🟢 Pagado",IF(N(F4)&gt;0,"🟡 Abono Parcial","🔴 Pendiente")))</f>
        <v>🟢 Pagado</v>
      </c>
      <c r="I4" s="144" t="s">
        <v>1016</v>
      </c>
      <c r="J4" s="68" t="s">
        <v>197</v>
      </c>
      <c r="K4" s="143">
        <v>2026.0</v>
      </c>
      <c r="L4" s="68" t="s">
        <v>1017</v>
      </c>
      <c r="M4" s="68" t="s">
        <v>261</v>
      </c>
      <c r="N4" s="43">
        <f t="shared" ref="N4:N204" si="2">IF(ISBLANK(A4),"",MAX(0, E4-N(F4)))</f>
        <v>0</v>
      </c>
      <c r="O4" s="145" t="s">
        <v>1018</v>
      </c>
      <c r="P4" s="212" t="str">
        <f>IF(ISBLANK(A4), "", IF(AND(LOWER(TRIM(J4))=LOWER(TRIM(PANEL!$L$2)), K4=PANEL!$I$2), MAX($P$3:P3)+1, ""))</f>
        <v/>
      </c>
    </row>
    <row r="5" ht="21.75" customHeight="1">
      <c r="A5" s="127" t="s">
        <v>1019</v>
      </c>
      <c r="B5" s="213" t="s">
        <v>467</v>
      </c>
      <c r="C5" s="129" t="s">
        <v>179</v>
      </c>
      <c r="D5" s="130">
        <v>15.0</v>
      </c>
      <c r="E5" s="52">
        <v>60000.0</v>
      </c>
      <c r="F5" s="49">
        <v>60000.0</v>
      </c>
      <c r="G5" s="128" t="s">
        <v>1015</v>
      </c>
      <c r="H5" s="73" t="str">
        <f t="shared" si="1"/>
        <v>🟢 Pagado</v>
      </c>
      <c r="I5" s="128" t="s">
        <v>1016</v>
      </c>
      <c r="J5" s="73" t="s">
        <v>197</v>
      </c>
      <c r="K5" s="130">
        <v>2026.0</v>
      </c>
      <c r="L5" s="73" t="s">
        <v>1017</v>
      </c>
      <c r="M5" s="73" t="s">
        <v>261</v>
      </c>
      <c r="N5" s="52">
        <f t="shared" si="2"/>
        <v>0</v>
      </c>
      <c r="O5" s="129" t="s">
        <v>1018</v>
      </c>
      <c r="P5" s="214" t="str">
        <f>IF(ISBLANK(A5), "", IF(AND(LOWER(TRIM(J5))=LOWER(TRIM(PANEL!$L$2)), K5=PANEL!$I$2), MAX($P$3:P4)+1, ""))</f>
        <v/>
      </c>
    </row>
    <row r="6" ht="21.75" customHeight="1">
      <c r="A6" s="142" t="s">
        <v>1020</v>
      </c>
      <c r="B6" s="211" t="s">
        <v>471</v>
      </c>
      <c r="C6" s="145" t="s">
        <v>179</v>
      </c>
      <c r="D6" s="143">
        <v>15.0</v>
      </c>
      <c r="E6" s="43">
        <v>62128.0</v>
      </c>
      <c r="F6" s="41">
        <v>62128.0</v>
      </c>
      <c r="G6" s="144" t="s">
        <v>1015</v>
      </c>
      <c r="H6" s="68" t="str">
        <f t="shared" si="1"/>
        <v>🟢 Pagado</v>
      </c>
      <c r="I6" s="144" t="s">
        <v>1016</v>
      </c>
      <c r="J6" s="68" t="s">
        <v>197</v>
      </c>
      <c r="K6" s="143">
        <v>2026.0</v>
      </c>
      <c r="L6" s="68" t="s">
        <v>1017</v>
      </c>
      <c r="M6" s="68" t="s">
        <v>261</v>
      </c>
      <c r="N6" s="43">
        <f t="shared" si="2"/>
        <v>0</v>
      </c>
      <c r="O6" s="145" t="s">
        <v>1018</v>
      </c>
      <c r="P6" s="212" t="str">
        <f>IF(ISBLANK(A6), "", IF(AND(LOWER(TRIM(J6))=LOWER(TRIM(PANEL!$L$2)), K6=PANEL!$I$2), MAX($P$3:P5)+1, ""))</f>
        <v/>
      </c>
    </row>
    <row r="7" ht="21.75" customHeight="1">
      <c r="A7" s="127" t="s">
        <v>1021</v>
      </c>
      <c r="B7" s="213" t="s">
        <v>687</v>
      </c>
      <c r="C7" s="129" t="s">
        <v>155</v>
      </c>
      <c r="D7" s="130">
        <v>15.0</v>
      </c>
      <c r="E7" s="52">
        <v>20000.0</v>
      </c>
      <c r="F7" s="49">
        <v>20000.0</v>
      </c>
      <c r="G7" s="128" t="s">
        <v>1015</v>
      </c>
      <c r="H7" s="73" t="str">
        <f t="shared" si="1"/>
        <v>🟢 Pagado</v>
      </c>
      <c r="I7" s="128" t="s">
        <v>1016</v>
      </c>
      <c r="J7" s="73" t="s">
        <v>197</v>
      </c>
      <c r="K7" s="130">
        <v>2026.0</v>
      </c>
      <c r="L7" s="73" t="s">
        <v>1017</v>
      </c>
      <c r="M7" s="73" t="s">
        <v>261</v>
      </c>
      <c r="N7" s="52">
        <f t="shared" si="2"/>
        <v>0</v>
      </c>
      <c r="O7" s="129" t="s">
        <v>1018</v>
      </c>
      <c r="P7" s="214" t="str">
        <f>IF(ISBLANK(A7), "", IF(AND(LOWER(TRIM(J7))=LOWER(TRIM(PANEL!$L$2)), K7=PANEL!$I$2), MAX($P$3:P6)+1, ""))</f>
        <v/>
      </c>
    </row>
    <row r="8" ht="21.75" customHeight="1">
      <c r="A8" s="142" t="s">
        <v>1022</v>
      </c>
      <c r="B8" s="211" t="s">
        <v>333</v>
      </c>
      <c r="C8" s="145" t="s">
        <v>139</v>
      </c>
      <c r="D8" s="143">
        <v>15.0</v>
      </c>
      <c r="E8" s="43">
        <v>10000.0</v>
      </c>
      <c r="F8" s="41">
        <v>10000.0</v>
      </c>
      <c r="G8" s="144" t="s">
        <v>1015</v>
      </c>
      <c r="H8" s="68" t="str">
        <f t="shared" si="1"/>
        <v>🟢 Pagado</v>
      </c>
      <c r="I8" s="144" t="s">
        <v>1016</v>
      </c>
      <c r="J8" s="68" t="s">
        <v>197</v>
      </c>
      <c r="K8" s="143">
        <v>2026.0</v>
      </c>
      <c r="L8" s="68" t="s">
        <v>1017</v>
      </c>
      <c r="M8" s="68" t="s">
        <v>261</v>
      </c>
      <c r="N8" s="43">
        <f t="shared" si="2"/>
        <v>0</v>
      </c>
      <c r="O8" s="145" t="s">
        <v>1018</v>
      </c>
      <c r="P8" s="212" t="str">
        <f>IF(ISBLANK(A8), "", IF(AND(LOWER(TRIM(J8))=LOWER(TRIM(PANEL!$L$2)), K8=PANEL!$I$2), MAX($P$3:P7)+1, ""))</f>
        <v/>
      </c>
    </row>
    <row r="9" ht="21.75" customHeight="1">
      <c r="A9" s="127" t="s">
        <v>1023</v>
      </c>
      <c r="B9" s="213" t="s">
        <v>681</v>
      </c>
      <c r="C9" s="129" t="s">
        <v>173</v>
      </c>
      <c r="D9" s="130">
        <v>30.0</v>
      </c>
      <c r="E9" s="52">
        <v>900000.0</v>
      </c>
      <c r="F9" s="49">
        <v>900000.0</v>
      </c>
      <c r="G9" s="128" t="s">
        <v>1024</v>
      </c>
      <c r="H9" s="73" t="str">
        <f t="shared" si="1"/>
        <v>🟢 Pagado</v>
      </c>
      <c r="I9" s="128" t="s">
        <v>1016</v>
      </c>
      <c r="J9" s="73" t="s">
        <v>197</v>
      </c>
      <c r="K9" s="130">
        <v>2026.0</v>
      </c>
      <c r="L9" s="73" t="s">
        <v>1017</v>
      </c>
      <c r="M9" s="73" t="s">
        <v>261</v>
      </c>
      <c r="N9" s="52">
        <f t="shared" si="2"/>
        <v>0</v>
      </c>
      <c r="O9" s="129" t="s">
        <v>1018</v>
      </c>
      <c r="P9" s="214" t="str">
        <f>IF(ISBLANK(A9), "", IF(AND(LOWER(TRIM(J9))=LOWER(TRIM(PANEL!$L$2)), K9=PANEL!$I$2), MAX($P$3:P8)+1, ""))</f>
        <v/>
      </c>
    </row>
    <row r="10" ht="21.75" customHeight="1">
      <c r="A10" s="142" t="s">
        <v>1025</v>
      </c>
      <c r="B10" s="211" t="s">
        <v>679</v>
      </c>
      <c r="C10" s="145" t="s">
        <v>179</v>
      </c>
      <c r="D10" s="143">
        <v>30.0</v>
      </c>
      <c r="E10" s="43">
        <v>48000.0</v>
      </c>
      <c r="F10" s="41">
        <v>48000.0</v>
      </c>
      <c r="G10" s="144" t="s">
        <v>1024</v>
      </c>
      <c r="H10" s="68" t="str">
        <f t="shared" si="1"/>
        <v>🟢 Pagado</v>
      </c>
      <c r="I10" s="144" t="s">
        <v>1016</v>
      </c>
      <c r="J10" s="68" t="s">
        <v>197</v>
      </c>
      <c r="K10" s="143">
        <v>2026.0</v>
      </c>
      <c r="L10" s="68" t="s">
        <v>1017</v>
      </c>
      <c r="M10" s="68" t="s">
        <v>261</v>
      </c>
      <c r="N10" s="43">
        <f t="shared" si="2"/>
        <v>0</v>
      </c>
      <c r="O10" s="145" t="s">
        <v>1018</v>
      </c>
      <c r="P10" s="212" t="str">
        <f>IF(ISBLANK(A10), "", IF(AND(LOWER(TRIM(J10))=LOWER(TRIM(PANEL!$L$2)), K10=PANEL!$I$2), MAX($P$3:P9)+1, ""))</f>
        <v/>
      </c>
    </row>
    <row r="11" ht="21.75" customHeight="1">
      <c r="A11" s="127" t="s">
        <v>1026</v>
      </c>
      <c r="B11" s="213" t="s">
        <v>677</v>
      </c>
      <c r="C11" s="129" t="s">
        <v>155</v>
      </c>
      <c r="D11" s="130">
        <v>30.0</v>
      </c>
      <c r="E11" s="52">
        <v>35000.0</v>
      </c>
      <c r="F11" s="49">
        <v>35000.0</v>
      </c>
      <c r="G11" s="128" t="s">
        <v>1024</v>
      </c>
      <c r="H11" s="73" t="str">
        <f t="shared" si="1"/>
        <v>🟢 Pagado</v>
      </c>
      <c r="I11" s="128" t="s">
        <v>1016</v>
      </c>
      <c r="J11" s="73" t="s">
        <v>197</v>
      </c>
      <c r="K11" s="130">
        <v>2026.0</v>
      </c>
      <c r="L11" s="73" t="s">
        <v>1017</v>
      </c>
      <c r="M11" s="73" t="s">
        <v>261</v>
      </c>
      <c r="N11" s="52">
        <f t="shared" si="2"/>
        <v>0</v>
      </c>
      <c r="O11" s="129" t="s">
        <v>1018</v>
      </c>
      <c r="P11" s="214" t="str">
        <f>IF(ISBLANK(A11), "", IF(AND(LOWER(TRIM(J11))=LOWER(TRIM(PANEL!$L$2)), K11=PANEL!$I$2), MAX($P$3:P10)+1, ""))</f>
        <v/>
      </c>
    </row>
    <row r="12" ht="21.75" customHeight="1">
      <c r="A12" s="142" t="s">
        <v>1027</v>
      </c>
      <c r="B12" s="211" t="s">
        <v>675</v>
      </c>
      <c r="C12" s="145" t="s">
        <v>258</v>
      </c>
      <c r="D12" s="143">
        <v>30.0</v>
      </c>
      <c r="E12" s="43">
        <v>40000.0</v>
      </c>
      <c r="F12" s="41">
        <v>40000.0</v>
      </c>
      <c r="G12" s="144" t="s">
        <v>1024</v>
      </c>
      <c r="H12" s="68" t="str">
        <f t="shared" si="1"/>
        <v>🟢 Pagado</v>
      </c>
      <c r="I12" s="144" t="s">
        <v>1016</v>
      </c>
      <c r="J12" s="68" t="s">
        <v>197</v>
      </c>
      <c r="K12" s="143">
        <v>2026.0</v>
      </c>
      <c r="L12" s="68" t="s">
        <v>1017</v>
      </c>
      <c r="M12" s="68" t="s">
        <v>261</v>
      </c>
      <c r="N12" s="43">
        <f t="shared" si="2"/>
        <v>0</v>
      </c>
      <c r="O12" s="145" t="s">
        <v>1018</v>
      </c>
      <c r="P12" s="212" t="str">
        <f>IF(ISBLANK(A12), "", IF(AND(LOWER(TRIM(J12))=LOWER(TRIM(PANEL!$L$2)), K12=PANEL!$I$2), MAX($P$3:P11)+1, ""))</f>
        <v/>
      </c>
    </row>
    <row r="13" ht="21.75" customHeight="1">
      <c r="A13" s="127" t="s">
        <v>1028</v>
      </c>
      <c r="B13" s="213" t="s">
        <v>672</v>
      </c>
      <c r="C13" s="129" t="s">
        <v>155</v>
      </c>
      <c r="D13" s="130">
        <v>30.0</v>
      </c>
      <c r="E13" s="52">
        <v>60000.0</v>
      </c>
      <c r="F13" s="49">
        <v>60000.0</v>
      </c>
      <c r="G13" s="128" t="s">
        <v>1024</v>
      </c>
      <c r="H13" s="73" t="str">
        <f t="shared" si="1"/>
        <v>🟢 Pagado</v>
      </c>
      <c r="I13" s="128" t="s">
        <v>1016</v>
      </c>
      <c r="J13" s="73" t="s">
        <v>197</v>
      </c>
      <c r="K13" s="130">
        <v>2026.0</v>
      </c>
      <c r="L13" s="73" t="s">
        <v>1017</v>
      </c>
      <c r="M13" s="73" t="s">
        <v>261</v>
      </c>
      <c r="N13" s="52">
        <f t="shared" si="2"/>
        <v>0</v>
      </c>
      <c r="O13" s="129" t="s">
        <v>1018</v>
      </c>
      <c r="P13" s="214" t="str">
        <f>IF(ISBLANK(A13), "", IF(AND(LOWER(TRIM(J13))=LOWER(TRIM(PANEL!$L$2)), K13=PANEL!$I$2), MAX($P$3:P12)+1, ""))</f>
        <v/>
      </c>
    </row>
    <row r="14" ht="21.75" customHeight="1">
      <c r="A14" s="142" t="s">
        <v>1029</v>
      </c>
      <c r="B14" s="211" t="s">
        <v>691</v>
      </c>
      <c r="C14" s="145" t="s">
        <v>179</v>
      </c>
      <c r="D14" s="143">
        <v>15.0</v>
      </c>
      <c r="E14" s="43">
        <v>110000.0</v>
      </c>
      <c r="F14" s="41">
        <v>110000.0</v>
      </c>
      <c r="G14" s="144" t="s">
        <v>1030</v>
      </c>
      <c r="H14" s="68" t="str">
        <f t="shared" si="1"/>
        <v>🟢 Pagado</v>
      </c>
      <c r="I14" s="144" t="s">
        <v>1031</v>
      </c>
      <c r="J14" s="68" t="s">
        <v>205</v>
      </c>
      <c r="K14" s="143">
        <v>2026.0</v>
      </c>
      <c r="L14" s="68" t="s">
        <v>1017</v>
      </c>
      <c r="M14" s="68" t="s">
        <v>261</v>
      </c>
      <c r="N14" s="43">
        <f t="shared" si="2"/>
        <v>0</v>
      </c>
      <c r="O14" s="145" t="s">
        <v>1032</v>
      </c>
      <c r="P14" s="212" t="str">
        <f>IF(ISBLANK(A14), "", IF(AND(LOWER(TRIM(J14))=LOWER(TRIM(PANEL!$L$2)), K14=PANEL!$I$2), MAX($P$3:P13)+1, ""))</f>
        <v/>
      </c>
    </row>
    <row r="15" ht="21.75" customHeight="1">
      <c r="A15" s="127" t="s">
        <v>1033</v>
      </c>
      <c r="B15" s="213" t="s">
        <v>471</v>
      </c>
      <c r="C15" s="129" t="s">
        <v>179</v>
      </c>
      <c r="D15" s="130">
        <v>15.0</v>
      </c>
      <c r="E15" s="52">
        <v>120000.0</v>
      </c>
      <c r="F15" s="49">
        <v>120000.0</v>
      </c>
      <c r="G15" s="128" t="s">
        <v>1030</v>
      </c>
      <c r="H15" s="73" t="str">
        <f t="shared" si="1"/>
        <v>🟢 Pagado</v>
      </c>
      <c r="I15" s="128" t="s">
        <v>1031</v>
      </c>
      <c r="J15" s="73" t="s">
        <v>205</v>
      </c>
      <c r="K15" s="130">
        <v>2026.0</v>
      </c>
      <c r="L15" s="73" t="s">
        <v>1017</v>
      </c>
      <c r="M15" s="73" t="s">
        <v>261</v>
      </c>
      <c r="N15" s="52">
        <f t="shared" si="2"/>
        <v>0</v>
      </c>
      <c r="O15" s="129" t="s">
        <v>1032</v>
      </c>
      <c r="P15" s="214" t="str">
        <f>IF(ISBLANK(A15), "", IF(AND(LOWER(TRIM(J15))=LOWER(TRIM(PANEL!$L$2)), K15=PANEL!$I$2), MAX($P$3:P14)+1, ""))</f>
        <v/>
      </c>
    </row>
    <row r="16" ht="21.75" customHeight="1">
      <c r="A16" s="142" t="s">
        <v>1034</v>
      </c>
      <c r="B16" s="211" t="s">
        <v>681</v>
      </c>
      <c r="C16" s="145" t="s">
        <v>173</v>
      </c>
      <c r="D16" s="143">
        <v>31.0</v>
      </c>
      <c r="E16" s="43">
        <v>900000.0</v>
      </c>
      <c r="F16" s="41">
        <v>900000.0</v>
      </c>
      <c r="G16" s="144" t="s">
        <v>1035</v>
      </c>
      <c r="H16" s="68" t="str">
        <f t="shared" si="1"/>
        <v>🟢 Pagado</v>
      </c>
      <c r="I16" s="144" t="s">
        <v>1036</v>
      </c>
      <c r="J16" s="68" t="s">
        <v>212</v>
      </c>
      <c r="K16" s="143">
        <v>2026.0</v>
      </c>
      <c r="L16" s="68" t="s">
        <v>1017</v>
      </c>
      <c r="M16" s="68" t="s">
        <v>261</v>
      </c>
      <c r="N16" s="43">
        <f t="shared" si="2"/>
        <v>0</v>
      </c>
      <c r="O16" s="145" t="s">
        <v>1032</v>
      </c>
      <c r="P16" s="212" t="str">
        <f>IF(ISBLANK(A16), "", IF(AND(LOWER(TRIM(J16))=LOWER(TRIM(PANEL!$L$2)), K16=PANEL!$I$2), MAX($P$3:P15)+1, ""))</f>
        <v/>
      </c>
    </row>
    <row r="17" ht="21.75" customHeight="1">
      <c r="A17" s="127" t="s">
        <v>1037</v>
      </c>
      <c r="B17" s="213" t="s">
        <v>679</v>
      </c>
      <c r="C17" s="129" t="s">
        <v>179</v>
      </c>
      <c r="D17" s="130">
        <v>31.0</v>
      </c>
      <c r="E17" s="52">
        <v>48000.0</v>
      </c>
      <c r="F17" s="49">
        <v>48000.0</v>
      </c>
      <c r="G17" s="128" t="s">
        <v>1035</v>
      </c>
      <c r="H17" s="73" t="str">
        <f t="shared" si="1"/>
        <v>🟢 Pagado</v>
      </c>
      <c r="I17" s="128" t="s">
        <v>1036</v>
      </c>
      <c r="J17" s="73" t="s">
        <v>212</v>
      </c>
      <c r="K17" s="130">
        <v>2026.0</v>
      </c>
      <c r="L17" s="73" t="s">
        <v>1017</v>
      </c>
      <c r="M17" s="73" t="s">
        <v>261</v>
      </c>
      <c r="N17" s="52">
        <f t="shared" si="2"/>
        <v>0</v>
      </c>
      <c r="O17" s="129" t="s">
        <v>1032</v>
      </c>
      <c r="P17" s="214" t="str">
        <f>IF(ISBLANK(A17), "", IF(AND(LOWER(TRIM(J17))=LOWER(TRIM(PANEL!$L$2)), K17=PANEL!$I$2), MAX($P$3:P16)+1, ""))</f>
        <v/>
      </c>
    </row>
    <row r="18" ht="21.75" customHeight="1">
      <c r="A18" s="142" t="s">
        <v>1038</v>
      </c>
      <c r="B18" s="211" t="s">
        <v>677</v>
      </c>
      <c r="C18" s="145" t="s">
        <v>155</v>
      </c>
      <c r="D18" s="143">
        <v>31.0</v>
      </c>
      <c r="E18" s="43">
        <v>35000.0</v>
      </c>
      <c r="F18" s="41">
        <v>35000.0</v>
      </c>
      <c r="G18" s="144" t="s">
        <v>1035</v>
      </c>
      <c r="H18" s="68" t="str">
        <f t="shared" si="1"/>
        <v>🟢 Pagado</v>
      </c>
      <c r="I18" s="144" t="s">
        <v>1036</v>
      </c>
      <c r="J18" s="68" t="s">
        <v>212</v>
      </c>
      <c r="K18" s="143">
        <v>2026.0</v>
      </c>
      <c r="L18" s="68" t="s">
        <v>1017</v>
      </c>
      <c r="M18" s="68" t="s">
        <v>261</v>
      </c>
      <c r="N18" s="43">
        <f t="shared" si="2"/>
        <v>0</v>
      </c>
      <c r="O18" s="145" t="s">
        <v>1032</v>
      </c>
      <c r="P18" s="212" t="str">
        <f>IF(ISBLANK(A18), "", IF(AND(LOWER(TRIM(J18))=LOWER(TRIM(PANEL!$L$2)), K18=PANEL!$I$2), MAX($P$3:P17)+1, ""))</f>
        <v/>
      </c>
    </row>
    <row r="19" ht="21.75" customHeight="1">
      <c r="A19" s="127" t="s">
        <v>1039</v>
      </c>
      <c r="B19" s="213" t="s">
        <v>675</v>
      </c>
      <c r="C19" s="129" t="s">
        <v>258</v>
      </c>
      <c r="D19" s="130">
        <v>31.0</v>
      </c>
      <c r="E19" s="52">
        <v>40000.0</v>
      </c>
      <c r="F19" s="49">
        <v>40000.0</v>
      </c>
      <c r="G19" s="128" t="s">
        <v>1035</v>
      </c>
      <c r="H19" s="73" t="str">
        <f t="shared" si="1"/>
        <v>🟢 Pagado</v>
      </c>
      <c r="I19" s="128" t="s">
        <v>1036</v>
      </c>
      <c r="J19" s="73" t="s">
        <v>212</v>
      </c>
      <c r="K19" s="130">
        <v>2026.0</v>
      </c>
      <c r="L19" s="73" t="s">
        <v>1017</v>
      </c>
      <c r="M19" s="73" t="s">
        <v>261</v>
      </c>
      <c r="N19" s="52">
        <f t="shared" si="2"/>
        <v>0</v>
      </c>
      <c r="O19" s="129" t="s">
        <v>1032</v>
      </c>
      <c r="P19" s="214" t="str">
        <f>IF(ISBLANK(A19), "", IF(AND(LOWER(TRIM(J19))=LOWER(TRIM(PANEL!$L$2)), K19=PANEL!$I$2), MAX($P$3:P18)+1, ""))</f>
        <v/>
      </c>
    </row>
    <row r="20" ht="21.75" customHeight="1">
      <c r="A20" s="142" t="s">
        <v>1040</v>
      </c>
      <c r="B20" s="211" t="s">
        <v>672</v>
      </c>
      <c r="C20" s="145" t="s">
        <v>155</v>
      </c>
      <c r="D20" s="143">
        <v>31.0</v>
      </c>
      <c r="E20" s="43">
        <v>60000.0</v>
      </c>
      <c r="F20" s="41">
        <v>60000.0</v>
      </c>
      <c r="G20" s="144" t="s">
        <v>1035</v>
      </c>
      <c r="H20" s="68" t="str">
        <f t="shared" si="1"/>
        <v>🟢 Pagado</v>
      </c>
      <c r="I20" s="144" t="s">
        <v>1036</v>
      </c>
      <c r="J20" s="68" t="s">
        <v>212</v>
      </c>
      <c r="K20" s="143">
        <v>2026.0</v>
      </c>
      <c r="L20" s="68" t="s">
        <v>1017</v>
      </c>
      <c r="M20" s="68" t="s">
        <v>261</v>
      </c>
      <c r="N20" s="43">
        <f t="shared" si="2"/>
        <v>0</v>
      </c>
      <c r="O20" s="145" t="s">
        <v>1032</v>
      </c>
      <c r="P20" s="212" t="str">
        <f>IF(ISBLANK(A20), "", IF(AND(LOWER(TRIM(J20))=LOWER(TRIM(PANEL!$L$2)), K20=PANEL!$I$2), MAX($P$3:P19)+1, ""))</f>
        <v/>
      </c>
    </row>
    <row r="21" ht="21.75" customHeight="1">
      <c r="A21" s="127" t="s">
        <v>1041</v>
      </c>
      <c r="B21" s="213" t="s">
        <v>691</v>
      </c>
      <c r="C21" s="129" t="s">
        <v>179</v>
      </c>
      <c r="D21" s="130">
        <v>15.0</v>
      </c>
      <c r="E21" s="52">
        <v>124000.0</v>
      </c>
      <c r="F21" s="49">
        <v>124000.0</v>
      </c>
      <c r="G21" s="128" t="s">
        <v>1042</v>
      </c>
      <c r="H21" s="73" t="str">
        <f t="shared" si="1"/>
        <v>🟢 Pagado</v>
      </c>
      <c r="I21" s="128" t="s">
        <v>1043</v>
      </c>
      <c r="J21" s="73" t="s">
        <v>219</v>
      </c>
      <c r="K21" s="130">
        <v>2026.0</v>
      </c>
      <c r="L21" s="73" t="s">
        <v>1017</v>
      </c>
      <c r="M21" s="73" t="s">
        <v>261</v>
      </c>
      <c r="N21" s="52">
        <f t="shared" si="2"/>
        <v>0</v>
      </c>
      <c r="O21" s="129" t="s">
        <v>1032</v>
      </c>
      <c r="P21" s="214" t="str">
        <f>IF(ISBLANK(A21), "", IF(AND(LOWER(TRIM(J21))=LOWER(TRIM(PANEL!$L$2)), K21=PANEL!$I$2), MAX($P$3:P20)+1, ""))</f>
        <v/>
      </c>
    </row>
    <row r="22" ht="21.75" customHeight="1">
      <c r="A22" s="142" t="s">
        <v>1044</v>
      </c>
      <c r="B22" s="211" t="s">
        <v>467</v>
      </c>
      <c r="C22" s="145" t="s">
        <v>179</v>
      </c>
      <c r="D22" s="143">
        <v>15.0</v>
      </c>
      <c r="E22" s="43">
        <v>60000.0</v>
      </c>
      <c r="F22" s="41">
        <v>60000.0</v>
      </c>
      <c r="G22" s="144" t="s">
        <v>1042</v>
      </c>
      <c r="H22" s="68" t="str">
        <f t="shared" si="1"/>
        <v>🟢 Pagado</v>
      </c>
      <c r="I22" s="144" t="s">
        <v>1043</v>
      </c>
      <c r="J22" s="68" t="s">
        <v>219</v>
      </c>
      <c r="K22" s="143">
        <v>2026.0</v>
      </c>
      <c r="L22" s="68" t="s">
        <v>1017</v>
      </c>
      <c r="M22" s="68" t="s">
        <v>261</v>
      </c>
      <c r="N22" s="43">
        <f t="shared" si="2"/>
        <v>0</v>
      </c>
      <c r="O22" s="145" t="s">
        <v>1032</v>
      </c>
      <c r="P22" s="212" t="str">
        <f>IF(ISBLANK(A22), "", IF(AND(LOWER(TRIM(J22))=LOWER(TRIM(PANEL!$L$2)), K22=PANEL!$I$2), MAX($P$3:P21)+1, ""))</f>
        <v/>
      </c>
    </row>
    <row r="23" ht="21.75" customHeight="1">
      <c r="A23" s="127" t="s">
        <v>1045</v>
      </c>
      <c r="B23" s="213" t="s">
        <v>471</v>
      </c>
      <c r="C23" s="129" t="s">
        <v>179</v>
      </c>
      <c r="D23" s="130">
        <v>15.0</v>
      </c>
      <c r="E23" s="52">
        <v>62128.0</v>
      </c>
      <c r="F23" s="49">
        <v>62128.0</v>
      </c>
      <c r="G23" s="128" t="s">
        <v>1042</v>
      </c>
      <c r="H23" s="73" t="str">
        <f t="shared" si="1"/>
        <v>🟢 Pagado</v>
      </c>
      <c r="I23" s="128" t="s">
        <v>1043</v>
      </c>
      <c r="J23" s="73" t="s">
        <v>219</v>
      </c>
      <c r="K23" s="130">
        <v>2026.0</v>
      </c>
      <c r="L23" s="73" t="s">
        <v>1017</v>
      </c>
      <c r="M23" s="73" t="s">
        <v>261</v>
      </c>
      <c r="N23" s="52">
        <f t="shared" si="2"/>
        <v>0</v>
      </c>
      <c r="O23" s="129" t="s">
        <v>1032</v>
      </c>
      <c r="P23" s="214" t="str">
        <f>IF(ISBLANK(A23), "", IF(AND(LOWER(TRIM(J23))=LOWER(TRIM(PANEL!$L$2)), K23=PANEL!$I$2), MAX($P$3:P22)+1, ""))</f>
        <v/>
      </c>
    </row>
    <row r="24" ht="21.75" customHeight="1">
      <c r="A24" s="142" t="s">
        <v>1046</v>
      </c>
      <c r="B24" s="211" t="s">
        <v>687</v>
      </c>
      <c r="C24" s="145" t="s">
        <v>155</v>
      </c>
      <c r="D24" s="143">
        <v>15.0</v>
      </c>
      <c r="E24" s="43">
        <v>20000.0</v>
      </c>
      <c r="F24" s="41">
        <v>20000.0</v>
      </c>
      <c r="G24" s="144" t="s">
        <v>1042</v>
      </c>
      <c r="H24" s="68" t="str">
        <f t="shared" si="1"/>
        <v>🟢 Pagado</v>
      </c>
      <c r="I24" s="144" t="s">
        <v>1043</v>
      </c>
      <c r="J24" s="68" t="s">
        <v>219</v>
      </c>
      <c r="K24" s="143">
        <v>2026.0</v>
      </c>
      <c r="L24" s="68" t="s">
        <v>1017</v>
      </c>
      <c r="M24" s="68" t="s">
        <v>261</v>
      </c>
      <c r="N24" s="43">
        <f t="shared" si="2"/>
        <v>0</v>
      </c>
      <c r="O24" s="145" t="s">
        <v>1032</v>
      </c>
      <c r="P24" s="212" t="str">
        <f>IF(ISBLANK(A24), "", IF(AND(LOWER(TRIM(J24))=LOWER(TRIM(PANEL!$L$2)), K24=PANEL!$I$2), MAX($P$3:P23)+1, ""))</f>
        <v/>
      </c>
    </row>
    <row r="25" ht="21.75" customHeight="1">
      <c r="A25" s="127" t="s">
        <v>1047</v>
      </c>
      <c r="B25" s="213" t="s">
        <v>333</v>
      </c>
      <c r="C25" s="129" t="s">
        <v>139</v>
      </c>
      <c r="D25" s="130">
        <v>15.0</v>
      </c>
      <c r="E25" s="52">
        <v>10000.0</v>
      </c>
      <c r="F25" s="49">
        <v>10000.0</v>
      </c>
      <c r="G25" s="128" t="s">
        <v>1042</v>
      </c>
      <c r="H25" s="73" t="str">
        <f t="shared" si="1"/>
        <v>🟢 Pagado</v>
      </c>
      <c r="I25" s="128" t="s">
        <v>1043</v>
      </c>
      <c r="J25" s="73" t="s">
        <v>219</v>
      </c>
      <c r="K25" s="130">
        <v>2026.0</v>
      </c>
      <c r="L25" s="73" t="s">
        <v>1017</v>
      </c>
      <c r="M25" s="73" t="s">
        <v>261</v>
      </c>
      <c r="N25" s="52">
        <f t="shared" si="2"/>
        <v>0</v>
      </c>
      <c r="O25" s="129" t="s">
        <v>1032</v>
      </c>
      <c r="P25" s="214" t="str">
        <f>IF(ISBLANK(A25), "", IF(AND(LOWER(TRIM(J25))=LOWER(TRIM(PANEL!$L$2)), K25=PANEL!$I$2), MAX($P$3:P24)+1, ""))</f>
        <v/>
      </c>
    </row>
    <row r="26" ht="21.75" customHeight="1">
      <c r="A26" s="142" t="s">
        <v>1048</v>
      </c>
      <c r="B26" s="211" t="s">
        <v>681</v>
      </c>
      <c r="C26" s="145" t="s">
        <v>173</v>
      </c>
      <c r="D26" s="143">
        <v>30.0</v>
      </c>
      <c r="E26" s="43">
        <v>900000.0</v>
      </c>
      <c r="F26" s="41">
        <v>900000.0</v>
      </c>
      <c r="G26" s="144" t="s">
        <v>1049</v>
      </c>
      <c r="H26" s="68" t="str">
        <f t="shared" si="1"/>
        <v>🟢 Pagado</v>
      </c>
      <c r="I26" s="144" t="s">
        <v>1043</v>
      </c>
      <c r="J26" s="68" t="s">
        <v>219</v>
      </c>
      <c r="K26" s="143">
        <v>2026.0</v>
      </c>
      <c r="L26" s="68" t="s">
        <v>1017</v>
      </c>
      <c r="M26" s="68" t="s">
        <v>261</v>
      </c>
      <c r="N26" s="43">
        <f t="shared" si="2"/>
        <v>0</v>
      </c>
      <c r="O26" s="145" t="s">
        <v>1032</v>
      </c>
      <c r="P26" s="212" t="str">
        <f>IF(ISBLANK(A26), "", IF(AND(LOWER(TRIM(J26))=LOWER(TRIM(PANEL!$L$2)), K26=PANEL!$I$2), MAX($P$3:P25)+1, ""))</f>
        <v/>
      </c>
    </row>
    <row r="27" ht="21.75" customHeight="1">
      <c r="A27" s="127" t="s">
        <v>1050</v>
      </c>
      <c r="B27" s="213" t="s">
        <v>679</v>
      </c>
      <c r="C27" s="129" t="s">
        <v>179</v>
      </c>
      <c r="D27" s="130">
        <v>30.0</v>
      </c>
      <c r="E27" s="52">
        <v>48000.0</v>
      </c>
      <c r="F27" s="49">
        <v>48000.0</v>
      </c>
      <c r="G27" s="128" t="s">
        <v>1049</v>
      </c>
      <c r="H27" s="73" t="str">
        <f t="shared" si="1"/>
        <v>🟢 Pagado</v>
      </c>
      <c r="I27" s="128" t="s">
        <v>1043</v>
      </c>
      <c r="J27" s="73" t="s">
        <v>219</v>
      </c>
      <c r="K27" s="130">
        <v>2026.0</v>
      </c>
      <c r="L27" s="73" t="s">
        <v>1017</v>
      </c>
      <c r="M27" s="73" t="s">
        <v>261</v>
      </c>
      <c r="N27" s="52">
        <f t="shared" si="2"/>
        <v>0</v>
      </c>
      <c r="O27" s="129" t="s">
        <v>1032</v>
      </c>
      <c r="P27" s="214" t="str">
        <f>IF(ISBLANK(A27), "", IF(AND(LOWER(TRIM(J27))=LOWER(TRIM(PANEL!$L$2)), K27=PANEL!$I$2), MAX($P$3:P26)+1, ""))</f>
        <v/>
      </c>
    </row>
    <row r="28" ht="21.75" customHeight="1">
      <c r="A28" s="142" t="s">
        <v>1051</v>
      </c>
      <c r="B28" s="211" t="s">
        <v>677</v>
      </c>
      <c r="C28" s="145" t="s">
        <v>155</v>
      </c>
      <c r="D28" s="143">
        <v>30.0</v>
      </c>
      <c r="E28" s="43">
        <v>35000.0</v>
      </c>
      <c r="F28" s="41">
        <v>35000.0</v>
      </c>
      <c r="G28" s="144" t="s">
        <v>1049</v>
      </c>
      <c r="H28" s="68" t="str">
        <f t="shared" si="1"/>
        <v>🟢 Pagado</v>
      </c>
      <c r="I28" s="144" t="s">
        <v>1043</v>
      </c>
      <c r="J28" s="68" t="s">
        <v>219</v>
      </c>
      <c r="K28" s="143">
        <v>2026.0</v>
      </c>
      <c r="L28" s="68" t="s">
        <v>1017</v>
      </c>
      <c r="M28" s="68" t="s">
        <v>261</v>
      </c>
      <c r="N28" s="43">
        <f t="shared" si="2"/>
        <v>0</v>
      </c>
      <c r="O28" s="145" t="s">
        <v>1032</v>
      </c>
      <c r="P28" s="212" t="str">
        <f>IF(ISBLANK(A28), "", IF(AND(LOWER(TRIM(J28))=LOWER(TRIM(PANEL!$L$2)), K28=PANEL!$I$2), MAX($P$3:P27)+1, ""))</f>
        <v/>
      </c>
    </row>
    <row r="29" ht="21.75" customHeight="1">
      <c r="A29" s="127" t="s">
        <v>1052</v>
      </c>
      <c r="B29" s="213" t="s">
        <v>675</v>
      </c>
      <c r="C29" s="129" t="s">
        <v>258</v>
      </c>
      <c r="D29" s="130">
        <v>30.0</v>
      </c>
      <c r="E29" s="52">
        <v>40000.0</v>
      </c>
      <c r="F29" s="49">
        <v>40000.0</v>
      </c>
      <c r="G29" s="128" t="s">
        <v>1049</v>
      </c>
      <c r="H29" s="73" t="str">
        <f t="shared" si="1"/>
        <v>🟢 Pagado</v>
      </c>
      <c r="I29" s="128" t="s">
        <v>1043</v>
      </c>
      <c r="J29" s="73" t="s">
        <v>219</v>
      </c>
      <c r="K29" s="130">
        <v>2026.0</v>
      </c>
      <c r="L29" s="73" t="s">
        <v>1017</v>
      </c>
      <c r="M29" s="73" t="s">
        <v>261</v>
      </c>
      <c r="N29" s="52">
        <f t="shared" si="2"/>
        <v>0</v>
      </c>
      <c r="O29" s="129" t="s">
        <v>1032</v>
      </c>
      <c r="P29" s="214" t="str">
        <f>IF(ISBLANK(A29), "", IF(AND(LOWER(TRIM(J29))=LOWER(TRIM(PANEL!$L$2)), K29=PANEL!$I$2), MAX($P$3:P28)+1, ""))</f>
        <v/>
      </c>
    </row>
    <row r="30" ht="21.75" customHeight="1">
      <c r="A30" s="142" t="s">
        <v>1053</v>
      </c>
      <c r="B30" s="211" t="s">
        <v>672</v>
      </c>
      <c r="C30" s="145" t="s">
        <v>155</v>
      </c>
      <c r="D30" s="143">
        <v>30.0</v>
      </c>
      <c r="E30" s="43">
        <v>60000.0</v>
      </c>
      <c r="F30" s="41">
        <v>60000.0</v>
      </c>
      <c r="G30" s="144" t="s">
        <v>1049</v>
      </c>
      <c r="H30" s="68" t="str">
        <f t="shared" si="1"/>
        <v>🟢 Pagado</v>
      </c>
      <c r="I30" s="144" t="s">
        <v>1043</v>
      </c>
      <c r="J30" s="68" t="s">
        <v>219</v>
      </c>
      <c r="K30" s="143">
        <v>2026.0</v>
      </c>
      <c r="L30" s="68" t="s">
        <v>1017</v>
      </c>
      <c r="M30" s="68" t="s">
        <v>261</v>
      </c>
      <c r="N30" s="43">
        <f t="shared" si="2"/>
        <v>0</v>
      </c>
      <c r="O30" s="145" t="s">
        <v>1032</v>
      </c>
      <c r="P30" s="212" t="str">
        <f>IF(ISBLANK(A30), "", IF(AND(LOWER(TRIM(J30))=LOWER(TRIM(PANEL!$L$2)), K30=PANEL!$I$2), MAX($P$3:P29)+1, ""))</f>
        <v/>
      </c>
    </row>
    <row r="31" ht="21.75" customHeight="1">
      <c r="A31" s="127" t="s">
        <v>1054</v>
      </c>
      <c r="B31" s="213" t="s">
        <v>691</v>
      </c>
      <c r="C31" s="129" t="s">
        <v>179</v>
      </c>
      <c r="D31" s="130">
        <v>15.0</v>
      </c>
      <c r="E31" s="52">
        <v>210000.0</v>
      </c>
      <c r="F31" s="49">
        <v>210000.0</v>
      </c>
      <c r="G31" s="128" t="s">
        <v>1055</v>
      </c>
      <c r="H31" s="73" t="str">
        <f t="shared" si="1"/>
        <v>🟢 Pagado</v>
      </c>
      <c r="I31" s="128" t="s">
        <v>1056</v>
      </c>
      <c r="J31" s="73" t="s">
        <v>226</v>
      </c>
      <c r="K31" s="130">
        <v>2026.0</v>
      </c>
      <c r="L31" s="73" t="s">
        <v>1017</v>
      </c>
      <c r="M31" s="73" t="s">
        <v>261</v>
      </c>
      <c r="N31" s="52">
        <f t="shared" si="2"/>
        <v>0</v>
      </c>
      <c r="O31" s="129" t="s">
        <v>1032</v>
      </c>
      <c r="P31" s="214" t="str">
        <f>IF(ISBLANK(A31), "", IF(AND(LOWER(TRIM(J31))=LOWER(TRIM(PANEL!$L$2)), K31=PANEL!$I$2), MAX($P$3:P30)+1, ""))</f>
        <v/>
      </c>
    </row>
    <row r="32" ht="21.75" customHeight="1">
      <c r="A32" s="142" t="s">
        <v>1057</v>
      </c>
      <c r="B32" s="211" t="s">
        <v>467</v>
      </c>
      <c r="C32" s="145" t="s">
        <v>179</v>
      </c>
      <c r="D32" s="143">
        <v>15.0</v>
      </c>
      <c r="E32" s="43">
        <v>60000.0</v>
      </c>
      <c r="F32" s="41">
        <v>60000.0</v>
      </c>
      <c r="G32" s="144" t="s">
        <v>1055</v>
      </c>
      <c r="H32" s="68" t="str">
        <f t="shared" si="1"/>
        <v>🟢 Pagado</v>
      </c>
      <c r="I32" s="144" t="s">
        <v>1056</v>
      </c>
      <c r="J32" s="68" t="s">
        <v>226</v>
      </c>
      <c r="K32" s="143">
        <v>2026.0</v>
      </c>
      <c r="L32" s="68" t="s">
        <v>1017</v>
      </c>
      <c r="M32" s="68" t="s">
        <v>261</v>
      </c>
      <c r="N32" s="43">
        <f t="shared" si="2"/>
        <v>0</v>
      </c>
      <c r="O32" s="145" t="s">
        <v>1032</v>
      </c>
      <c r="P32" s="212" t="str">
        <f>IF(ISBLANK(A32), "", IF(AND(LOWER(TRIM(J32))=LOWER(TRIM(PANEL!$L$2)), K32=PANEL!$I$2), MAX($P$3:P31)+1, ""))</f>
        <v/>
      </c>
    </row>
    <row r="33" ht="21.75" customHeight="1">
      <c r="A33" s="127" t="s">
        <v>1058</v>
      </c>
      <c r="B33" s="213" t="s">
        <v>471</v>
      </c>
      <c r="C33" s="129" t="s">
        <v>179</v>
      </c>
      <c r="D33" s="130">
        <v>15.0</v>
      </c>
      <c r="E33" s="52">
        <v>62300.0</v>
      </c>
      <c r="F33" s="49">
        <v>62300.0</v>
      </c>
      <c r="G33" s="128" t="s">
        <v>1055</v>
      </c>
      <c r="H33" s="73" t="str">
        <f t="shared" si="1"/>
        <v>🟢 Pagado</v>
      </c>
      <c r="I33" s="128" t="s">
        <v>1056</v>
      </c>
      <c r="J33" s="73" t="s">
        <v>226</v>
      </c>
      <c r="K33" s="130">
        <v>2026.0</v>
      </c>
      <c r="L33" s="73" t="s">
        <v>1017</v>
      </c>
      <c r="M33" s="73" t="s">
        <v>261</v>
      </c>
      <c r="N33" s="52">
        <f t="shared" si="2"/>
        <v>0</v>
      </c>
      <c r="O33" s="129" t="s">
        <v>1032</v>
      </c>
      <c r="P33" s="214" t="str">
        <f>IF(ISBLANK(A33), "", IF(AND(LOWER(TRIM(J33))=LOWER(TRIM(PANEL!$L$2)), K33=PANEL!$I$2), MAX($P$3:P32)+1, ""))</f>
        <v/>
      </c>
    </row>
    <row r="34" ht="21.75" customHeight="1">
      <c r="A34" s="142" t="s">
        <v>1059</v>
      </c>
      <c r="B34" s="211" t="s">
        <v>687</v>
      </c>
      <c r="C34" s="145" t="s">
        <v>155</v>
      </c>
      <c r="D34" s="143">
        <v>15.0</v>
      </c>
      <c r="E34" s="43">
        <v>35000.0</v>
      </c>
      <c r="F34" s="41">
        <v>35000.0</v>
      </c>
      <c r="G34" s="144" t="s">
        <v>1055</v>
      </c>
      <c r="H34" s="68" t="str">
        <f t="shared" si="1"/>
        <v>🟢 Pagado</v>
      </c>
      <c r="I34" s="144" t="s">
        <v>1056</v>
      </c>
      <c r="J34" s="68" t="s">
        <v>226</v>
      </c>
      <c r="K34" s="143">
        <v>2026.0</v>
      </c>
      <c r="L34" s="68" t="s">
        <v>1017</v>
      </c>
      <c r="M34" s="68" t="s">
        <v>261</v>
      </c>
      <c r="N34" s="43">
        <f t="shared" si="2"/>
        <v>0</v>
      </c>
      <c r="O34" s="145" t="s">
        <v>1032</v>
      </c>
      <c r="P34" s="212" t="str">
        <f>IF(ISBLANK(A34), "", IF(AND(LOWER(TRIM(J34))=LOWER(TRIM(PANEL!$L$2)), K34=PANEL!$I$2), MAX($P$3:P33)+1, ""))</f>
        <v/>
      </c>
    </row>
    <row r="35" ht="21.75" customHeight="1">
      <c r="A35" s="127" t="s">
        <v>1060</v>
      </c>
      <c r="B35" s="213" t="s">
        <v>333</v>
      </c>
      <c r="C35" s="129" t="s">
        <v>139</v>
      </c>
      <c r="D35" s="130">
        <v>15.0</v>
      </c>
      <c r="E35" s="52">
        <v>10000.0</v>
      </c>
      <c r="F35" s="49">
        <v>10000.0</v>
      </c>
      <c r="G35" s="128" t="s">
        <v>1055</v>
      </c>
      <c r="H35" s="73" t="str">
        <f t="shared" si="1"/>
        <v>🟢 Pagado</v>
      </c>
      <c r="I35" s="128" t="s">
        <v>1056</v>
      </c>
      <c r="J35" s="73" t="s">
        <v>226</v>
      </c>
      <c r="K35" s="130">
        <v>2026.0</v>
      </c>
      <c r="L35" s="73" t="s">
        <v>1017</v>
      </c>
      <c r="M35" s="73" t="s">
        <v>261</v>
      </c>
      <c r="N35" s="52">
        <f t="shared" si="2"/>
        <v>0</v>
      </c>
      <c r="O35" s="129" t="s">
        <v>1032</v>
      </c>
      <c r="P35" s="214" t="str">
        <f>IF(ISBLANK(A35), "", IF(AND(LOWER(TRIM(J35))=LOWER(TRIM(PANEL!$L$2)), K35=PANEL!$I$2), MAX($P$3:P34)+1, ""))</f>
        <v/>
      </c>
    </row>
    <row r="36" ht="21.75" customHeight="1">
      <c r="A36" s="142" t="s">
        <v>1061</v>
      </c>
      <c r="B36" s="211" t="s">
        <v>681</v>
      </c>
      <c r="C36" s="145" t="s">
        <v>173</v>
      </c>
      <c r="D36" s="143">
        <v>31.0</v>
      </c>
      <c r="E36" s="43">
        <v>900000.0</v>
      </c>
      <c r="F36" s="41">
        <v>900000.0</v>
      </c>
      <c r="G36" s="144" t="s">
        <v>1062</v>
      </c>
      <c r="H36" s="68" t="str">
        <f t="shared" si="1"/>
        <v>🟢 Pagado</v>
      </c>
      <c r="I36" s="144" t="s">
        <v>1056</v>
      </c>
      <c r="J36" s="68" t="s">
        <v>226</v>
      </c>
      <c r="K36" s="143">
        <v>2026.0</v>
      </c>
      <c r="L36" s="68" t="s">
        <v>1017</v>
      </c>
      <c r="M36" s="68" t="s">
        <v>261</v>
      </c>
      <c r="N36" s="43">
        <f t="shared" si="2"/>
        <v>0</v>
      </c>
      <c r="O36" s="145" t="s">
        <v>1032</v>
      </c>
      <c r="P36" s="212" t="str">
        <f>IF(ISBLANK(A36), "", IF(AND(LOWER(TRIM(J36))=LOWER(TRIM(PANEL!$L$2)), K36=PANEL!$I$2), MAX($P$3:P35)+1, ""))</f>
        <v/>
      </c>
    </row>
    <row r="37" ht="21.75" customHeight="1">
      <c r="A37" s="127" t="s">
        <v>1063</v>
      </c>
      <c r="B37" s="213" t="s">
        <v>679</v>
      </c>
      <c r="C37" s="129" t="s">
        <v>179</v>
      </c>
      <c r="D37" s="130">
        <v>31.0</v>
      </c>
      <c r="E37" s="52">
        <v>43900.0</v>
      </c>
      <c r="F37" s="49">
        <v>43900.0</v>
      </c>
      <c r="G37" s="128" t="s">
        <v>1062</v>
      </c>
      <c r="H37" s="73" t="str">
        <f t="shared" si="1"/>
        <v>🟢 Pagado</v>
      </c>
      <c r="I37" s="128" t="s">
        <v>1056</v>
      </c>
      <c r="J37" s="73" t="s">
        <v>226</v>
      </c>
      <c r="K37" s="130">
        <v>2026.0</v>
      </c>
      <c r="L37" s="73" t="s">
        <v>1017</v>
      </c>
      <c r="M37" s="73" t="s">
        <v>261</v>
      </c>
      <c r="N37" s="52">
        <f t="shared" si="2"/>
        <v>0</v>
      </c>
      <c r="O37" s="129" t="s">
        <v>1032</v>
      </c>
      <c r="P37" s="214" t="str">
        <f>IF(ISBLANK(A37), "", IF(AND(LOWER(TRIM(J37))=LOWER(TRIM(PANEL!$L$2)), K37=PANEL!$I$2), MAX($P$3:P36)+1, ""))</f>
        <v/>
      </c>
    </row>
    <row r="38" ht="21.75" customHeight="1">
      <c r="A38" s="142" t="s">
        <v>1064</v>
      </c>
      <c r="B38" s="211" t="s">
        <v>677</v>
      </c>
      <c r="C38" s="145" t="s">
        <v>155</v>
      </c>
      <c r="D38" s="143">
        <v>31.0</v>
      </c>
      <c r="E38" s="43">
        <v>30000.0</v>
      </c>
      <c r="F38" s="41">
        <v>30000.0</v>
      </c>
      <c r="G38" s="144" t="s">
        <v>1062</v>
      </c>
      <c r="H38" s="68" t="str">
        <f t="shared" si="1"/>
        <v>🟢 Pagado</v>
      </c>
      <c r="I38" s="144" t="s">
        <v>1056</v>
      </c>
      <c r="J38" s="68" t="s">
        <v>226</v>
      </c>
      <c r="K38" s="143">
        <v>2026.0</v>
      </c>
      <c r="L38" s="68" t="s">
        <v>1017</v>
      </c>
      <c r="M38" s="68" t="s">
        <v>261</v>
      </c>
      <c r="N38" s="43">
        <f t="shared" si="2"/>
        <v>0</v>
      </c>
      <c r="O38" s="145" t="s">
        <v>1032</v>
      </c>
      <c r="P38" s="212" t="str">
        <f>IF(ISBLANK(A38), "", IF(AND(LOWER(TRIM(J38))=LOWER(TRIM(PANEL!$L$2)), K38=PANEL!$I$2), MAX($P$3:P37)+1, ""))</f>
        <v/>
      </c>
    </row>
    <row r="39" ht="21.75" customHeight="1">
      <c r="A39" s="127" t="s">
        <v>1065</v>
      </c>
      <c r="B39" s="213" t="s">
        <v>672</v>
      </c>
      <c r="C39" s="129" t="s">
        <v>155</v>
      </c>
      <c r="D39" s="130">
        <v>31.0</v>
      </c>
      <c r="E39" s="52">
        <v>60000.0</v>
      </c>
      <c r="F39" s="49">
        <v>60000.0</v>
      </c>
      <c r="G39" s="128" t="s">
        <v>1062</v>
      </c>
      <c r="H39" s="73" t="str">
        <f t="shared" si="1"/>
        <v>🟢 Pagado</v>
      </c>
      <c r="I39" s="128" t="s">
        <v>1056</v>
      </c>
      <c r="J39" s="73" t="s">
        <v>226</v>
      </c>
      <c r="K39" s="130">
        <v>2026.0</v>
      </c>
      <c r="L39" s="73" t="s">
        <v>1017</v>
      </c>
      <c r="M39" s="73" t="s">
        <v>261</v>
      </c>
      <c r="N39" s="52">
        <f t="shared" si="2"/>
        <v>0</v>
      </c>
      <c r="O39" s="129" t="s">
        <v>1032</v>
      </c>
      <c r="P39" s="214" t="str">
        <f>IF(ISBLANK(A39), "", IF(AND(LOWER(TRIM(J39))=LOWER(TRIM(PANEL!$L$2)), K39=PANEL!$I$2), MAX($P$3:P38)+1, ""))</f>
        <v/>
      </c>
    </row>
    <row r="40" ht="21.75" customHeight="1">
      <c r="A40" s="142" t="s">
        <v>1066</v>
      </c>
      <c r="B40" s="211" t="s">
        <v>691</v>
      </c>
      <c r="C40" s="145" t="s">
        <v>179</v>
      </c>
      <c r="D40" s="143">
        <v>15.0</v>
      </c>
      <c r="E40" s="43">
        <v>134000.0</v>
      </c>
      <c r="F40" s="41">
        <v>134000.0</v>
      </c>
      <c r="G40" s="144" t="s">
        <v>1067</v>
      </c>
      <c r="H40" s="68" t="str">
        <f t="shared" si="1"/>
        <v>🟢 Pagado</v>
      </c>
      <c r="I40" s="144" t="s">
        <v>1068</v>
      </c>
      <c r="J40" s="68" t="s">
        <v>233</v>
      </c>
      <c r="K40" s="143">
        <v>2026.0</v>
      </c>
      <c r="L40" s="68" t="s">
        <v>1017</v>
      </c>
      <c r="M40" s="68" t="s">
        <v>261</v>
      </c>
      <c r="N40" s="43">
        <f t="shared" si="2"/>
        <v>0</v>
      </c>
      <c r="O40" s="145" t="s">
        <v>1032</v>
      </c>
      <c r="P40" s="212" t="str">
        <f>IF(ISBLANK(A40), "", IF(AND(LOWER(TRIM(J40))=LOWER(TRIM(PANEL!$L$2)), K40=PANEL!$I$2), MAX($P$3:P39)+1, ""))</f>
        <v/>
      </c>
    </row>
    <row r="41" ht="21.75" customHeight="1">
      <c r="A41" s="127" t="s">
        <v>1069</v>
      </c>
      <c r="B41" s="213" t="s">
        <v>467</v>
      </c>
      <c r="C41" s="129" t="s">
        <v>179</v>
      </c>
      <c r="D41" s="130">
        <v>15.0</v>
      </c>
      <c r="E41" s="52">
        <v>60000.0</v>
      </c>
      <c r="F41" s="49">
        <v>60000.0</v>
      </c>
      <c r="G41" s="128" t="s">
        <v>1067</v>
      </c>
      <c r="H41" s="73" t="str">
        <f t="shared" si="1"/>
        <v>🟢 Pagado</v>
      </c>
      <c r="I41" s="128" t="s">
        <v>1068</v>
      </c>
      <c r="J41" s="73" t="s">
        <v>233</v>
      </c>
      <c r="K41" s="130">
        <v>2026.0</v>
      </c>
      <c r="L41" s="73" t="s">
        <v>1017</v>
      </c>
      <c r="M41" s="73" t="s">
        <v>261</v>
      </c>
      <c r="N41" s="52">
        <f t="shared" si="2"/>
        <v>0</v>
      </c>
      <c r="O41" s="129" t="s">
        <v>1032</v>
      </c>
      <c r="P41" s="214" t="str">
        <f>IF(ISBLANK(A41), "", IF(AND(LOWER(TRIM(J41))=LOWER(TRIM(PANEL!$L$2)), K41=PANEL!$I$2), MAX($P$3:P40)+1, ""))</f>
        <v/>
      </c>
    </row>
    <row r="42" ht="21.75" customHeight="1">
      <c r="A42" s="142" t="s">
        <v>1070</v>
      </c>
      <c r="B42" s="211" t="s">
        <v>471</v>
      </c>
      <c r="C42" s="145" t="s">
        <v>179</v>
      </c>
      <c r="D42" s="143">
        <v>15.0</v>
      </c>
      <c r="E42" s="43">
        <v>62000.0</v>
      </c>
      <c r="F42" s="41">
        <v>62000.0</v>
      </c>
      <c r="G42" s="144" t="s">
        <v>1067</v>
      </c>
      <c r="H42" s="68" t="str">
        <f t="shared" si="1"/>
        <v>🟢 Pagado</v>
      </c>
      <c r="I42" s="144" t="s">
        <v>1068</v>
      </c>
      <c r="J42" s="68" t="s">
        <v>233</v>
      </c>
      <c r="K42" s="143">
        <v>2026.0</v>
      </c>
      <c r="L42" s="68" t="s">
        <v>1017</v>
      </c>
      <c r="M42" s="68" t="s">
        <v>261</v>
      </c>
      <c r="N42" s="43">
        <f t="shared" si="2"/>
        <v>0</v>
      </c>
      <c r="O42" s="145" t="s">
        <v>1032</v>
      </c>
      <c r="P42" s="212" t="str">
        <f>IF(ISBLANK(A42), "", IF(AND(LOWER(TRIM(J42))=LOWER(TRIM(PANEL!$L$2)), K42=PANEL!$I$2), MAX($P$3:P41)+1, ""))</f>
        <v/>
      </c>
    </row>
    <row r="43" ht="21.75" customHeight="1">
      <c r="A43" s="127" t="s">
        <v>1071</v>
      </c>
      <c r="B43" s="213" t="s">
        <v>1072</v>
      </c>
      <c r="C43" s="129" t="s">
        <v>258</v>
      </c>
      <c r="D43" s="130">
        <v>15.0</v>
      </c>
      <c r="E43" s="52">
        <v>40000.0</v>
      </c>
      <c r="F43" s="49">
        <v>40000.0</v>
      </c>
      <c r="G43" s="128" t="s">
        <v>1067</v>
      </c>
      <c r="H43" s="73" t="str">
        <f t="shared" si="1"/>
        <v>🟢 Pagado</v>
      </c>
      <c r="I43" s="128" t="s">
        <v>1068</v>
      </c>
      <c r="J43" s="73" t="s">
        <v>233</v>
      </c>
      <c r="K43" s="130">
        <v>2026.0</v>
      </c>
      <c r="L43" s="73" t="s">
        <v>1017</v>
      </c>
      <c r="M43" s="73" t="s">
        <v>261</v>
      </c>
      <c r="N43" s="52">
        <f t="shared" si="2"/>
        <v>0</v>
      </c>
      <c r="O43" s="129" t="s">
        <v>1032</v>
      </c>
      <c r="P43" s="214" t="str">
        <f>IF(ISBLANK(A43), "", IF(AND(LOWER(TRIM(J43))=LOWER(TRIM(PANEL!$L$2)), K43=PANEL!$I$2), MAX($P$3:P42)+1, ""))</f>
        <v/>
      </c>
    </row>
    <row r="44" ht="21.75" customHeight="1">
      <c r="A44" s="142" t="s">
        <v>1073</v>
      </c>
      <c r="B44" s="211" t="s">
        <v>1074</v>
      </c>
      <c r="C44" s="145" t="s">
        <v>155</v>
      </c>
      <c r="D44" s="143">
        <v>15.0</v>
      </c>
      <c r="E44" s="43">
        <v>60000.0</v>
      </c>
      <c r="F44" s="41">
        <v>60000.0</v>
      </c>
      <c r="G44" s="144" t="s">
        <v>1067</v>
      </c>
      <c r="H44" s="68" t="str">
        <f t="shared" si="1"/>
        <v>🟢 Pagado</v>
      </c>
      <c r="I44" s="144" t="s">
        <v>1068</v>
      </c>
      <c r="J44" s="68" t="s">
        <v>233</v>
      </c>
      <c r="K44" s="143">
        <v>2026.0</v>
      </c>
      <c r="L44" s="68" t="s">
        <v>1017</v>
      </c>
      <c r="M44" s="68" t="s">
        <v>261</v>
      </c>
      <c r="N44" s="43">
        <f t="shared" si="2"/>
        <v>0</v>
      </c>
      <c r="O44" s="145" t="s">
        <v>1032</v>
      </c>
      <c r="P44" s="212" t="str">
        <f>IF(ISBLANK(A44), "", IF(AND(LOWER(TRIM(J44))=LOWER(TRIM(PANEL!$L$2)), K44=PANEL!$I$2), MAX($P$3:P43)+1, ""))</f>
        <v/>
      </c>
    </row>
    <row r="45" ht="21.75" customHeight="1">
      <c r="A45" s="127" t="s">
        <v>1075</v>
      </c>
      <c r="B45" s="213" t="s">
        <v>687</v>
      </c>
      <c r="C45" s="129" t="s">
        <v>155</v>
      </c>
      <c r="D45" s="130">
        <v>15.0</v>
      </c>
      <c r="E45" s="52">
        <v>35000.0</v>
      </c>
      <c r="F45" s="49">
        <v>35000.0</v>
      </c>
      <c r="G45" s="128" t="s">
        <v>1067</v>
      </c>
      <c r="H45" s="73" t="str">
        <f t="shared" si="1"/>
        <v>🟢 Pagado</v>
      </c>
      <c r="I45" s="128" t="s">
        <v>1068</v>
      </c>
      <c r="J45" s="73" t="s">
        <v>233</v>
      </c>
      <c r="K45" s="130">
        <v>2026.0</v>
      </c>
      <c r="L45" s="73" t="s">
        <v>1017</v>
      </c>
      <c r="M45" s="73" t="s">
        <v>261</v>
      </c>
      <c r="N45" s="52">
        <f t="shared" si="2"/>
        <v>0</v>
      </c>
      <c r="O45" s="129" t="s">
        <v>1032</v>
      </c>
      <c r="P45" s="214" t="str">
        <f>IF(ISBLANK(A45), "", IF(AND(LOWER(TRIM(J45))=LOWER(TRIM(PANEL!$L$2)), K45=PANEL!$I$2), MAX($P$3:P44)+1, ""))</f>
        <v/>
      </c>
    </row>
    <row r="46" ht="21.75" customHeight="1">
      <c r="A46" s="142" t="s">
        <v>1076</v>
      </c>
      <c r="B46" s="211" t="s">
        <v>333</v>
      </c>
      <c r="C46" s="145" t="s">
        <v>139</v>
      </c>
      <c r="D46" s="143">
        <v>15.0</v>
      </c>
      <c r="E46" s="43">
        <v>10000.0</v>
      </c>
      <c r="F46" s="41">
        <v>10000.0</v>
      </c>
      <c r="G46" s="144" t="s">
        <v>1067</v>
      </c>
      <c r="H46" s="68" t="str">
        <f t="shared" si="1"/>
        <v>🟢 Pagado</v>
      </c>
      <c r="I46" s="144" t="s">
        <v>1068</v>
      </c>
      <c r="J46" s="68" t="s">
        <v>233</v>
      </c>
      <c r="K46" s="143">
        <v>2026.0</v>
      </c>
      <c r="L46" s="68" t="s">
        <v>1017</v>
      </c>
      <c r="M46" s="68" t="s">
        <v>261</v>
      </c>
      <c r="N46" s="43">
        <f t="shared" si="2"/>
        <v>0</v>
      </c>
      <c r="O46" s="145" t="s">
        <v>1032</v>
      </c>
      <c r="P46" s="212" t="str">
        <f>IF(ISBLANK(A46), "", IF(AND(LOWER(TRIM(J46))=LOWER(TRIM(PANEL!$L$2)), K46=PANEL!$I$2), MAX($P$3:P45)+1, ""))</f>
        <v/>
      </c>
    </row>
    <row r="47" ht="21.75" customHeight="1">
      <c r="A47" s="127" t="s">
        <v>1077</v>
      </c>
      <c r="B47" s="213" t="s">
        <v>679</v>
      </c>
      <c r="C47" s="129" t="s">
        <v>179</v>
      </c>
      <c r="D47" s="130">
        <v>15.0</v>
      </c>
      <c r="E47" s="52">
        <v>43000.0</v>
      </c>
      <c r="F47" s="49">
        <v>43000.0</v>
      </c>
      <c r="G47" s="128" t="s">
        <v>1067</v>
      </c>
      <c r="H47" s="73" t="str">
        <f t="shared" si="1"/>
        <v>🟢 Pagado</v>
      </c>
      <c r="I47" s="128" t="s">
        <v>1068</v>
      </c>
      <c r="J47" s="73" t="s">
        <v>233</v>
      </c>
      <c r="K47" s="130">
        <v>2026.0</v>
      </c>
      <c r="L47" s="73" t="s">
        <v>1017</v>
      </c>
      <c r="M47" s="73" t="s">
        <v>261</v>
      </c>
      <c r="N47" s="52">
        <f t="shared" si="2"/>
        <v>0</v>
      </c>
      <c r="O47" s="129" t="s">
        <v>1032</v>
      </c>
      <c r="P47" s="214" t="str">
        <f>IF(ISBLANK(A47), "", IF(AND(LOWER(TRIM(J47))=LOWER(TRIM(PANEL!$L$2)), K47=PANEL!$I$2), MAX($P$3:P46)+1, ""))</f>
        <v/>
      </c>
    </row>
    <row r="48" ht="21.75" customHeight="1">
      <c r="A48" s="142" t="s">
        <v>1078</v>
      </c>
      <c r="B48" s="211" t="s">
        <v>681</v>
      </c>
      <c r="C48" s="145" t="s">
        <v>173</v>
      </c>
      <c r="D48" s="143">
        <v>30.0</v>
      </c>
      <c r="E48" s="43">
        <v>900000.0</v>
      </c>
      <c r="F48" s="41">
        <v>900000.0</v>
      </c>
      <c r="G48" s="144" t="s">
        <v>1079</v>
      </c>
      <c r="H48" s="68" t="str">
        <f t="shared" si="1"/>
        <v>🟢 Pagado</v>
      </c>
      <c r="I48" s="144" t="s">
        <v>1068</v>
      </c>
      <c r="J48" s="68" t="s">
        <v>233</v>
      </c>
      <c r="K48" s="143">
        <v>2026.0</v>
      </c>
      <c r="L48" s="68" t="s">
        <v>1017</v>
      </c>
      <c r="M48" s="68" t="s">
        <v>261</v>
      </c>
      <c r="N48" s="43">
        <f t="shared" si="2"/>
        <v>0</v>
      </c>
      <c r="O48" s="145" t="s">
        <v>1032</v>
      </c>
      <c r="P48" s="212" t="str">
        <f>IF(ISBLANK(A48), "", IF(AND(LOWER(TRIM(J48))=LOWER(TRIM(PANEL!$L$2)), K48=PANEL!$I$2), MAX($P$3:P47)+1, ""))</f>
        <v/>
      </c>
    </row>
    <row r="49" ht="21.75" customHeight="1">
      <c r="A49" s="127" t="s">
        <v>1080</v>
      </c>
      <c r="B49" s="213" t="s">
        <v>677</v>
      </c>
      <c r="C49" s="129" t="s">
        <v>155</v>
      </c>
      <c r="D49" s="130">
        <v>30.0</v>
      </c>
      <c r="E49" s="52">
        <v>30000.0</v>
      </c>
      <c r="F49" s="49">
        <v>30000.0</v>
      </c>
      <c r="G49" s="128" t="s">
        <v>1079</v>
      </c>
      <c r="H49" s="73" t="str">
        <f t="shared" si="1"/>
        <v>🟢 Pagado</v>
      </c>
      <c r="I49" s="128" t="s">
        <v>1068</v>
      </c>
      <c r="J49" s="73" t="s">
        <v>233</v>
      </c>
      <c r="K49" s="130">
        <v>2026.0</v>
      </c>
      <c r="L49" s="73" t="s">
        <v>1017</v>
      </c>
      <c r="M49" s="73" t="s">
        <v>261</v>
      </c>
      <c r="N49" s="52">
        <f t="shared" si="2"/>
        <v>0</v>
      </c>
      <c r="O49" s="129" t="s">
        <v>1032</v>
      </c>
      <c r="P49" s="214" t="str">
        <f>IF(ISBLANK(A49), "", IF(AND(LOWER(TRIM(J49))=LOWER(TRIM(PANEL!$L$2)), K49=PANEL!$I$2), MAX($P$3:P48)+1, ""))</f>
        <v/>
      </c>
    </row>
    <row r="50" ht="21.75" customHeight="1">
      <c r="A50" s="142" t="s">
        <v>1081</v>
      </c>
      <c r="B50" s="211" t="s">
        <v>675</v>
      </c>
      <c r="C50" s="145" t="s">
        <v>258</v>
      </c>
      <c r="D50" s="143">
        <v>30.0</v>
      </c>
      <c r="E50" s="43">
        <v>40000.0</v>
      </c>
      <c r="F50" s="41">
        <v>40000.0</v>
      </c>
      <c r="G50" s="144" t="s">
        <v>1079</v>
      </c>
      <c r="H50" s="68" t="str">
        <f t="shared" si="1"/>
        <v>🟢 Pagado</v>
      </c>
      <c r="I50" s="144" t="s">
        <v>1068</v>
      </c>
      <c r="J50" s="68" t="s">
        <v>233</v>
      </c>
      <c r="K50" s="143">
        <v>2026.0</v>
      </c>
      <c r="L50" s="68" t="s">
        <v>1017</v>
      </c>
      <c r="M50" s="68" t="s">
        <v>261</v>
      </c>
      <c r="N50" s="43">
        <f t="shared" si="2"/>
        <v>0</v>
      </c>
      <c r="O50" s="145" t="s">
        <v>1032</v>
      </c>
      <c r="P50" s="212" t="str">
        <f>IF(ISBLANK(A50), "", IF(AND(LOWER(TRIM(J50))=LOWER(TRIM(PANEL!$L$2)), K50=PANEL!$I$2), MAX($P$3:P49)+1, ""))</f>
        <v/>
      </c>
    </row>
    <row r="51" ht="21.75" customHeight="1">
      <c r="A51" s="127" t="s">
        <v>1082</v>
      </c>
      <c r="B51" s="213" t="s">
        <v>672</v>
      </c>
      <c r="C51" s="129" t="s">
        <v>155</v>
      </c>
      <c r="D51" s="130">
        <v>30.0</v>
      </c>
      <c r="E51" s="52">
        <v>60000.0</v>
      </c>
      <c r="F51" s="49">
        <v>60000.0</v>
      </c>
      <c r="G51" s="128" t="s">
        <v>1079</v>
      </c>
      <c r="H51" s="73" t="str">
        <f t="shared" si="1"/>
        <v>🟢 Pagado</v>
      </c>
      <c r="I51" s="128" t="s">
        <v>1068</v>
      </c>
      <c r="J51" s="73" t="s">
        <v>233</v>
      </c>
      <c r="K51" s="130">
        <v>2026.0</v>
      </c>
      <c r="L51" s="73" t="s">
        <v>1017</v>
      </c>
      <c r="M51" s="73" t="s">
        <v>261</v>
      </c>
      <c r="N51" s="52">
        <f t="shared" si="2"/>
        <v>0</v>
      </c>
      <c r="O51" s="129" t="s">
        <v>1032</v>
      </c>
      <c r="P51" s="214" t="str">
        <f>IF(ISBLANK(A51), "", IF(AND(LOWER(TRIM(J51))=LOWER(TRIM(PANEL!$L$2)), K51=PANEL!$I$2), MAX($P$3:P50)+1, ""))</f>
        <v/>
      </c>
    </row>
    <row r="52" ht="21.75" customHeight="1">
      <c r="A52" s="142" t="s">
        <v>1083</v>
      </c>
      <c r="B52" s="211" t="s">
        <v>691</v>
      </c>
      <c r="C52" s="145" t="s">
        <v>179</v>
      </c>
      <c r="D52" s="143">
        <v>15.0</v>
      </c>
      <c r="E52" s="43">
        <v>145000.0</v>
      </c>
      <c r="F52" s="41">
        <v>145000.0</v>
      </c>
      <c r="G52" s="144" t="s">
        <v>1084</v>
      </c>
      <c r="H52" s="68" t="str">
        <f t="shared" si="1"/>
        <v>🟢 Pagado</v>
      </c>
      <c r="I52" s="144" t="s">
        <v>1085</v>
      </c>
      <c r="J52" s="68" t="s">
        <v>240</v>
      </c>
      <c r="K52" s="143">
        <v>2026.0</v>
      </c>
      <c r="L52" s="68" t="s">
        <v>1017</v>
      </c>
      <c r="M52" s="68" t="s">
        <v>261</v>
      </c>
      <c r="N52" s="43">
        <f t="shared" si="2"/>
        <v>0</v>
      </c>
      <c r="O52" s="145" t="s">
        <v>1032</v>
      </c>
      <c r="P52" s="212" t="str">
        <f>IF(ISBLANK(A52), "", IF(AND(LOWER(TRIM(J52))=LOWER(TRIM(PANEL!$L$2)), K52=PANEL!$I$2), MAX($P$3:P51)+1, ""))</f>
        <v/>
      </c>
    </row>
    <row r="53" ht="21.75" customHeight="1">
      <c r="A53" s="127" t="s">
        <v>1086</v>
      </c>
      <c r="B53" s="213" t="s">
        <v>467</v>
      </c>
      <c r="C53" s="129" t="s">
        <v>179</v>
      </c>
      <c r="D53" s="130">
        <v>15.0</v>
      </c>
      <c r="E53" s="52">
        <v>60000.0</v>
      </c>
      <c r="F53" s="49">
        <v>60000.0</v>
      </c>
      <c r="G53" s="128" t="s">
        <v>1084</v>
      </c>
      <c r="H53" s="73" t="str">
        <f t="shared" si="1"/>
        <v>🟢 Pagado</v>
      </c>
      <c r="I53" s="128" t="s">
        <v>1085</v>
      </c>
      <c r="J53" s="73" t="s">
        <v>240</v>
      </c>
      <c r="K53" s="130">
        <v>2026.0</v>
      </c>
      <c r="L53" s="73" t="s">
        <v>1017</v>
      </c>
      <c r="M53" s="73" t="s">
        <v>261</v>
      </c>
      <c r="N53" s="52">
        <f t="shared" si="2"/>
        <v>0</v>
      </c>
      <c r="O53" s="129" t="s">
        <v>1032</v>
      </c>
      <c r="P53" s="214" t="str">
        <f>IF(ISBLANK(A53), "", IF(AND(LOWER(TRIM(J53))=LOWER(TRIM(PANEL!$L$2)), K53=PANEL!$I$2), MAX($P$3:P52)+1, ""))</f>
        <v/>
      </c>
    </row>
    <row r="54" ht="21.75" customHeight="1">
      <c r="A54" s="142" t="s">
        <v>1087</v>
      </c>
      <c r="B54" s="211" t="s">
        <v>471</v>
      </c>
      <c r="C54" s="145" t="s">
        <v>179</v>
      </c>
      <c r="D54" s="143">
        <v>15.0</v>
      </c>
      <c r="E54" s="43">
        <v>120000.0</v>
      </c>
      <c r="F54" s="41">
        <v>120000.0</v>
      </c>
      <c r="G54" s="144" t="s">
        <v>1084</v>
      </c>
      <c r="H54" s="68" t="str">
        <f t="shared" si="1"/>
        <v>🟢 Pagado</v>
      </c>
      <c r="I54" s="144" t="s">
        <v>1085</v>
      </c>
      <c r="J54" s="68" t="s">
        <v>240</v>
      </c>
      <c r="K54" s="143">
        <v>2026.0</v>
      </c>
      <c r="L54" s="68" t="s">
        <v>1017</v>
      </c>
      <c r="M54" s="68" t="s">
        <v>261</v>
      </c>
      <c r="N54" s="43">
        <f t="shared" si="2"/>
        <v>0</v>
      </c>
      <c r="O54" s="145" t="s">
        <v>1032</v>
      </c>
      <c r="P54" s="212" t="str">
        <f>IF(ISBLANK(A54), "", IF(AND(LOWER(TRIM(J54))=LOWER(TRIM(PANEL!$L$2)), K54=PANEL!$I$2), MAX($P$3:P53)+1, ""))</f>
        <v/>
      </c>
    </row>
    <row r="55" ht="21.75" customHeight="1">
      <c r="A55" s="127" t="s">
        <v>1088</v>
      </c>
      <c r="B55" s="213" t="s">
        <v>1072</v>
      </c>
      <c r="C55" s="129" t="s">
        <v>258</v>
      </c>
      <c r="D55" s="130">
        <v>15.0</v>
      </c>
      <c r="E55" s="52">
        <v>40000.0</v>
      </c>
      <c r="F55" s="49">
        <v>40000.0</v>
      </c>
      <c r="G55" s="128" t="s">
        <v>1084</v>
      </c>
      <c r="H55" s="73" t="str">
        <f t="shared" si="1"/>
        <v>🟢 Pagado</v>
      </c>
      <c r="I55" s="128" t="s">
        <v>1085</v>
      </c>
      <c r="J55" s="73" t="s">
        <v>240</v>
      </c>
      <c r="K55" s="130">
        <v>2026.0</v>
      </c>
      <c r="L55" s="73" t="s">
        <v>1017</v>
      </c>
      <c r="M55" s="73" t="s">
        <v>261</v>
      </c>
      <c r="N55" s="52">
        <f t="shared" si="2"/>
        <v>0</v>
      </c>
      <c r="O55" s="129" t="s">
        <v>1032</v>
      </c>
      <c r="P55" s="214" t="str">
        <f>IF(ISBLANK(A55), "", IF(AND(LOWER(TRIM(J55))=LOWER(TRIM(PANEL!$L$2)), K55=PANEL!$I$2), MAX($P$3:P54)+1, ""))</f>
        <v/>
      </c>
    </row>
    <row r="56" ht="21.75" customHeight="1">
      <c r="A56" s="142" t="s">
        <v>1089</v>
      </c>
      <c r="B56" s="211" t="s">
        <v>1074</v>
      </c>
      <c r="C56" s="145" t="s">
        <v>155</v>
      </c>
      <c r="D56" s="143">
        <v>15.0</v>
      </c>
      <c r="E56" s="43">
        <v>60000.0</v>
      </c>
      <c r="F56" s="41">
        <v>60000.0</v>
      </c>
      <c r="G56" s="144" t="s">
        <v>1084</v>
      </c>
      <c r="H56" s="68" t="str">
        <f t="shared" si="1"/>
        <v>🟢 Pagado</v>
      </c>
      <c r="I56" s="144" t="s">
        <v>1085</v>
      </c>
      <c r="J56" s="68" t="s">
        <v>240</v>
      </c>
      <c r="K56" s="143">
        <v>2026.0</v>
      </c>
      <c r="L56" s="68" t="s">
        <v>1017</v>
      </c>
      <c r="M56" s="68" t="s">
        <v>261</v>
      </c>
      <c r="N56" s="43">
        <f t="shared" si="2"/>
        <v>0</v>
      </c>
      <c r="O56" s="145" t="s">
        <v>1032</v>
      </c>
      <c r="P56" s="212" t="str">
        <f>IF(ISBLANK(A56), "", IF(AND(LOWER(TRIM(J56))=LOWER(TRIM(PANEL!$L$2)), K56=PANEL!$I$2), MAX($P$3:P55)+1, ""))</f>
        <v/>
      </c>
    </row>
    <row r="57" ht="21.75" customHeight="1">
      <c r="A57" s="127" t="s">
        <v>1090</v>
      </c>
      <c r="B57" s="213" t="s">
        <v>687</v>
      </c>
      <c r="C57" s="129" t="s">
        <v>155</v>
      </c>
      <c r="D57" s="130">
        <v>15.0</v>
      </c>
      <c r="E57" s="52">
        <v>35000.0</v>
      </c>
      <c r="F57" s="49">
        <v>35000.0</v>
      </c>
      <c r="G57" s="128" t="s">
        <v>1084</v>
      </c>
      <c r="H57" s="73" t="str">
        <f t="shared" si="1"/>
        <v>🟢 Pagado</v>
      </c>
      <c r="I57" s="128" t="s">
        <v>1085</v>
      </c>
      <c r="J57" s="73" t="s">
        <v>240</v>
      </c>
      <c r="K57" s="130">
        <v>2026.0</v>
      </c>
      <c r="L57" s="73" t="s">
        <v>1017</v>
      </c>
      <c r="M57" s="73" t="s">
        <v>261</v>
      </c>
      <c r="N57" s="52">
        <f t="shared" si="2"/>
        <v>0</v>
      </c>
      <c r="O57" s="129" t="s">
        <v>1032</v>
      </c>
      <c r="P57" s="214" t="str">
        <f>IF(ISBLANK(A57), "", IF(AND(LOWER(TRIM(J57))=LOWER(TRIM(PANEL!$L$2)), K57=PANEL!$I$2), MAX($P$3:P56)+1, ""))</f>
        <v/>
      </c>
    </row>
    <row r="58" ht="21.75" customHeight="1">
      <c r="A58" s="142" t="s">
        <v>1091</v>
      </c>
      <c r="B58" s="211" t="s">
        <v>333</v>
      </c>
      <c r="C58" s="145" t="s">
        <v>139</v>
      </c>
      <c r="D58" s="143">
        <v>15.0</v>
      </c>
      <c r="E58" s="43">
        <v>10000.0</v>
      </c>
      <c r="F58" s="41">
        <v>10000.0</v>
      </c>
      <c r="G58" s="144" t="s">
        <v>1084</v>
      </c>
      <c r="H58" s="68" t="str">
        <f t="shared" si="1"/>
        <v>🟢 Pagado</v>
      </c>
      <c r="I58" s="144" t="s">
        <v>1085</v>
      </c>
      <c r="J58" s="68" t="s">
        <v>240</v>
      </c>
      <c r="K58" s="143">
        <v>2026.0</v>
      </c>
      <c r="L58" s="68" t="s">
        <v>1017</v>
      </c>
      <c r="M58" s="68" t="s">
        <v>261</v>
      </c>
      <c r="N58" s="43">
        <f t="shared" si="2"/>
        <v>0</v>
      </c>
      <c r="O58" s="145" t="s">
        <v>1032</v>
      </c>
      <c r="P58" s="212" t="str">
        <f>IF(ISBLANK(A58), "", IF(AND(LOWER(TRIM(J58))=LOWER(TRIM(PANEL!$L$2)), K58=PANEL!$I$2), MAX($P$3:P57)+1, ""))</f>
        <v/>
      </c>
    </row>
    <row r="59" ht="21.75" customHeight="1">
      <c r="A59" s="127" t="s">
        <v>1092</v>
      </c>
      <c r="B59" s="213" t="s">
        <v>679</v>
      </c>
      <c r="C59" s="129" t="s">
        <v>179</v>
      </c>
      <c r="D59" s="130">
        <v>15.0</v>
      </c>
      <c r="E59" s="52">
        <v>39000.0</v>
      </c>
      <c r="F59" s="49">
        <v>39000.0</v>
      </c>
      <c r="G59" s="128" t="s">
        <v>1084</v>
      </c>
      <c r="H59" s="73" t="str">
        <f t="shared" si="1"/>
        <v>🟢 Pagado</v>
      </c>
      <c r="I59" s="128" t="s">
        <v>1085</v>
      </c>
      <c r="J59" s="73" t="s">
        <v>240</v>
      </c>
      <c r="K59" s="130">
        <v>2026.0</v>
      </c>
      <c r="L59" s="73" t="s">
        <v>1017</v>
      </c>
      <c r="M59" s="73" t="s">
        <v>261</v>
      </c>
      <c r="N59" s="52">
        <f t="shared" si="2"/>
        <v>0</v>
      </c>
      <c r="O59" s="129" t="s">
        <v>1032</v>
      </c>
      <c r="P59" s="214" t="str">
        <f>IF(ISBLANK(A59), "", IF(AND(LOWER(TRIM(J59))=LOWER(TRIM(PANEL!$L$2)), K59=PANEL!$I$2), MAX($P$3:P58)+1, ""))</f>
        <v/>
      </c>
    </row>
    <row r="60" ht="21.75" customHeight="1">
      <c r="A60" s="142" t="s">
        <v>1093</v>
      </c>
      <c r="B60" s="211" t="s">
        <v>681</v>
      </c>
      <c r="C60" s="145" t="s">
        <v>173</v>
      </c>
      <c r="D60" s="143">
        <v>31.0</v>
      </c>
      <c r="E60" s="43">
        <v>900000.0</v>
      </c>
      <c r="F60" s="41">
        <v>900000.0</v>
      </c>
      <c r="G60" s="144" t="s">
        <v>1094</v>
      </c>
      <c r="H60" s="68" t="str">
        <f t="shared" si="1"/>
        <v>🟢 Pagado</v>
      </c>
      <c r="I60" s="144" t="s">
        <v>1085</v>
      </c>
      <c r="J60" s="68" t="s">
        <v>240</v>
      </c>
      <c r="K60" s="143">
        <v>2026.0</v>
      </c>
      <c r="L60" s="68" t="s">
        <v>1017</v>
      </c>
      <c r="M60" s="68" t="s">
        <v>261</v>
      </c>
      <c r="N60" s="43">
        <f t="shared" si="2"/>
        <v>0</v>
      </c>
      <c r="O60" s="145" t="s">
        <v>1032</v>
      </c>
      <c r="P60" s="212" t="str">
        <f>IF(ISBLANK(A60), "", IF(AND(LOWER(TRIM(J60))=LOWER(TRIM(PANEL!$L$2)), K60=PANEL!$I$2), MAX($P$3:P59)+1, ""))</f>
        <v/>
      </c>
    </row>
    <row r="61" ht="21.75" customHeight="1">
      <c r="A61" s="127" t="s">
        <v>1095</v>
      </c>
      <c r="B61" s="213" t="s">
        <v>397</v>
      </c>
      <c r="C61" s="129" t="s">
        <v>179</v>
      </c>
      <c r="D61" s="130">
        <v>31.0</v>
      </c>
      <c r="E61" s="52">
        <v>20000.0</v>
      </c>
      <c r="F61" s="49">
        <v>20000.0</v>
      </c>
      <c r="G61" s="128" t="s">
        <v>1094</v>
      </c>
      <c r="H61" s="73" t="str">
        <f t="shared" si="1"/>
        <v>🟢 Pagado</v>
      </c>
      <c r="I61" s="128" t="s">
        <v>1085</v>
      </c>
      <c r="J61" s="73" t="s">
        <v>240</v>
      </c>
      <c r="K61" s="130">
        <v>2026.0</v>
      </c>
      <c r="L61" s="73" t="s">
        <v>1017</v>
      </c>
      <c r="M61" s="73" t="s">
        <v>261</v>
      </c>
      <c r="N61" s="52">
        <f t="shared" si="2"/>
        <v>0</v>
      </c>
      <c r="O61" s="129" t="s">
        <v>1032</v>
      </c>
      <c r="P61" s="214" t="str">
        <f>IF(ISBLANK(A61), "", IF(AND(LOWER(TRIM(J61))=LOWER(TRIM(PANEL!$L$2)), K61=PANEL!$I$2), MAX($P$3:P60)+1, ""))</f>
        <v/>
      </c>
    </row>
    <row r="62" ht="21.75" customHeight="1">
      <c r="A62" s="142" t="s">
        <v>1096</v>
      </c>
      <c r="B62" s="211" t="s">
        <v>677</v>
      </c>
      <c r="C62" s="145" t="s">
        <v>155</v>
      </c>
      <c r="D62" s="143">
        <v>31.0</v>
      </c>
      <c r="E62" s="43">
        <v>25000.0</v>
      </c>
      <c r="F62" s="41">
        <v>25000.0</v>
      </c>
      <c r="G62" s="144" t="s">
        <v>1094</v>
      </c>
      <c r="H62" s="68" t="str">
        <f t="shared" si="1"/>
        <v>🟢 Pagado</v>
      </c>
      <c r="I62" s="144" t="s">
        <v>1085</v>
      </c>
      <c r="J62" s="68" t="s">
        <v>240</v>
      </c>
      <c r="K62" s="143">
        <v>2026.0</v>
      </c>
      <c r="L62" s="68" t="s">
        <v>1017</v>
      </c>
      <c r="M62" s="68" t="s">
        <v>261</v>
      </c>
      <c r="N62" s="43">
        <f t="shared" si="2"/>
        <v>0</v>
      </c>
      <c r="O62" s="145" t="s">
        <v>1032</v>
      </c>
      <c r="P62" s="212" t="str">
        <f>IF(ISBLANK(A62), "", IF(AND(LOWER(TRIM(J62))=LOWER(TRIM(PANEL!$L$2)), K62=PANEL!$I$2), MAX($P$3:P61)+1, ""))</f>
        <v/>
      </c>
    </row>
    <row r="63" ht="21.75" customHeight="1">
      <c r="A63" s="127" t="s">
        <v>1097</v>
      </c>
      <c r="B63" s="213" t="s">
        <v>675</v>
      </c>
      <c r="C63" s="129" t="s">
        <v>258</v>
      </c>
      <c r="D63" s="130">
        <v>31.0</v>
      </c>
      <c r="E63" s="52">
        <v>40000.0</v>
      </c>
      <c r="F63" s="49">
        <v>40000.0</v>
      </c>
      <c r="G63" s="128" t="s">
        <v>1094</v>
      </c>
      <c r="H63" s="73" t="str">
        <f t="shared" si="1"/>
        <v>🟢 Pagado</v>
      </c>
      <c r="I63" s="128" t="s">
        <v>1085</v>
      </c>
      <c r="J63" s="73" t="s">
        <v>240</v>
      </c>
      <c r="K63" s="130">
        <v>2026.0</v>
      </c>
      <c r="L63" s="73" t="s">
        <v>1017</v>
      </c>
      <c r="M63" s="73" t="s">
        <v>261</v>
      </c>
      <c r="N63" s="52">
        <f t="shared" si="2"/>
        <v>0</v>
      </c>
      <c r="O63" s="129" t="s">
        <v>1032</v>
      </c>
      <c r="P63" s="214" t="str">
        <f>IF(ISBLANK(A63), "", IF(AND(LOWER(TRIM(J63))=LOWER(TRIM(PANEL!$L$2)), K63=PANEL!$I$2), MAX($P$3:P62)+1, ""))</f>
        <v/>
      </c>
    </row>
    <row r="64" ht="21.75" customHeight="1">
      <c r="A64" s="142" t="s">
        <v>1098</v>
      </c>
      <c r="B64" s="211" t="s">
        <v>672</v>
      </c>
      <c r="C64" s="145" t="s">
        <v>155</v>
      </c>
      <c r="D64" s="143">
        <v>31.0</v>
      </c>
      <c r="E64" s="43">
        <v>40000.0</v>
      </c>
      <c r="F64" s="41">
        <v>40000.0</v>
      </c>
      <c r="G64" s="144" t="s">
        <v>1094</v>
      </c>
      <c r="H64" s="68" t="str">
        <f t="shared" si="1"/>
        <v>🟢 Pagado</v>
      </c>
      <c r="I64" s="144" t="s">
        <v>1085</v>
      </c>
      <c r="J64" s="68" t="s">
        <v>240</v>
      </c>
      <c r="K64" s="143">
        <v>2026.0</v>
      </c>
      <c r="L64" s="68" t="s">
        <v>1017</v>
      </c>
      <c r="M64" s="68" t="s">
        <v>261</v>
      </c>
      <c r="N64" s="43">
        <f t="shared" si="2"/>
        <v>0</v>
      </c>
      <c r="O64" s="145" t="s">
        <v>1032</v>
      </c>
      <c r="P64" s="212" t="str">
        <f>IF(ISBLANK(A64), "", IF(AND(LOWER(TRIM(J64))=LOWER(TRIM(PANEL!$L$2)), K64=PANEL!$I$2), MAX($P$3:P63)+1, ""))</f>
        <v/>
      </c>
    </row>
    <row r="65" ht="21.75" customHeight="1">
      <c r="A65" s="127" t="s">
        <v>1099</v>
      </c>
      <c r="B65" s="213" t="s">
        <v>1100</v>
      </c>
      <c r="C65" s="129" t="s">
        <v>179</v>
      </c>
      <c r="D65" s="130">
        <v>15.0</v>
      </c>
      <c r="E65" s="52">
        <v>177000.0</v>
      </c>
      <c r="F65" s="49">
        <v>177000.0</v>
      </c>
      <c r="G65" s="128" t="s">
        <v>1101</v>
      </c>
      <c r="H65" s="73" t="str">
        <f t="shared" si="1"/>
        <v>🟢 Pagado</v>
      </c>
      <c r="I65" s="128" t="s">
        <v>1102</v>
      </c>
      <c r="J65" s="73" t="s">
        <v>247</v>
      </c>
      <c r="K65" s="130">
        <v>2026.0</v>
      </c>
      <c r="L65" s="73" t="s">
        <v>1017</v>
      </c>
      <c r="M65" s="73" t="s">
        <v>158</v>
      </c>
      <c r="N65" s="52">
        <f t="shared" si="2"/>
        <v>0</v>
      </c>
      <c r="O65" s="129"/>
      <c r="P65" s="214" t="str">
        <f>IF(ISBLANK(A65), "", IF(AND(LOWER(TRIM(J65))=LOWER(TRIM(PANEL!$L$2)), K65=PANEL!$I$2), MAX($P$3:P64)+1, ""))</f>
        <v/>
      </c>
    </row>
    <row r="66" ht="21.75" customHeight="1">
      <c r="A66" s="142" t="s">
        <v>1103</v>
      </c>
      <c r="B66" s="211" t="s">
        <v>364</v>
      </c>
      <c r="C66" s="145" t="s">
        <v>48</v>
      </c>
      <c r="D66" s="143">
        <v>15.0</v>
      </c>
      <c r="E66" s="43">
        <v>850000.0</v>
      </c>
      <c r="F66" s="41">
        <v>850000.0</v>
      </c>
      <c r="G66" s="144" t="s">
        <v>1104</v>
      </c>
      <c r="H66" s="68" t="str">
        <f t="shared" si="1"/>
        <v>🟢 Pagado</v>
      </c>
      <c r="I66" s="144" t="s">
        <v>1102</v>
      </c>
      <c r="J66" s="68" t="s">
        <v>247</v>
      </c>
      <c r="K66" s="143">
        <v>2026.0</v>
      </c>
      <c r="L66" s="68" t="s">
        <v>1017</v>
      </c>
      <c r="M66" s="68" t="s">
        <v>158</v>
      </c>
      <c r="N66" s="43">
        <f t="shared" si="2"/>
        <v>0</v>
      </c>
      <c r="O66" s="145"/>
      <c r="P66" s="212" t="str">
        <f>IF(ISBLANK(A66), "", IF(AND(LOWER(TRIM(J66))=LOWER(TRIM(PANEL!$L$2)), K66=PANEL!$I$2), MAX($P$3:P65)+1, ""))</f>
        <v/>
      </c>
    </row>
    <row r="67" ht="21.75" customHeight="1">
      <c r="A67" s="127" t="s">
        <v>1105</v>
      </c>
      <c r="B67" s="213" t="s">
        <v>471</v>
      </c>
      <c r="C67" s="129" t="s">
        <v>179</v>
      </c>
      <c r="D67" s="130">
        <v>15.0</v>
      </c>
      <c r="E67" s="52">
        <v>120000.0</v>
      </c>
      <c r="F67" s="49">
        <v>62136.0</v>
      </c>
      <c r="G67" s="128" t="s">
        <v>1106</v>
      </c>
      <c r="H67" s="73" t="str">
        <f t="shared" si="1"/>
        <v>🟡 Abono Parcial</v>
      </c>
      <c r="I67" s="128" t="s">
        <v>1102</v>
      </c>
      <c r="J67" s="73" t="s">
        <v>247</v>
      </c>
      <c r="K67" s="130">
        <v>2026.0</v>
      </c>
      <c r="L67" s="73" t="s">
        <v>1017</v>
      </c>
      <c r="M67" s="73" t="s">
        <v>158</v>
      </c>
      <c r="N67" s="52">
        <f t="shared" si="2"/>
        <v>57864</v>
      </c>
      <c r="O67" s="129"/>
      <c r="P67" s="214" t="str">
        <f>IF(ISBLANK(A67), "", IF(AND(LOWER(TRIM(J67))=LOWER(TRIM(PANEL!$L$2)), K67=PANEL!$I$2), MAX($P$3:P66)+1, ""))</f>
        <v/>
      </c>
    </row>
    <row r="68" ht="21.75" customHeight="1">
      <c r="A68" s="142" t="s">
        <v>1107</v>
      </c>
      <c r="B68" s="211" t="s">
        <v>477</v>
      </c>
      <c r="C68" s="145" t="s">
        <v>258</v>
      </c>
      <c r="D68" s="143">
        <v>15.0</v>
      </c>
      <c r="E68" s="43">
        <v>40000.0</v>
      </c>
      <c r="F68" s="41">
        <v>17000.0</v>
      </c>
      <c r="G68" s="144" t="s">
        <v>1108</v>
      </c>
      <c r="H68" s="68" t="str">
        <f t="shared" si="1"/>
        <v>🟡 Abono Parcial</v>
      </c>
      <c r="I68" s="144" t="s">
        <v>1102</v>
      </c>
      <c r="J68" s="68" t="s">
        <v>247</v>
      </c>
      <c r="K68" s="143">
        <v>2026.0</v>
      </c>
      <c r="L68" s="68" t="s">
        <v>1017</v>
      </c>
      <c r="M68" s="68" t="s">
        <v>158</v>
      </c>
      <c r="N68" s="43">
        <f t="shared" si="2"/>
        <v>23000</v>
      </c>
      <c r="O68" s="145"/>
      <c r="P68" s="212" t="str">
        <f>IF(ISBLANK(A68), "", IF(AND(LOWER(TRIM(J68))=LOWER(TRIM(PANEL!$L$2)), K68=PANEL!$I$2), MAX($P$3:P67)+1, ""))</f>
        <v/>
      </c>
    </row>
    <row r="69" ht="21.75" customHeight="1">
      <c r="A69" s="127" t="s">
        <v>1109</v>
      </c>
      <c r="B69" s="213" t="s">
        <v>436</v>
      </c>
      <c r="C69" s="129" t="s">
        <v>155</v>
      </c>
      <c r="D69" s="130">
        <v>15.0</v>
      </c>
      <c r="E69" s="52">
        <v>60000.0</v>
      </c>
      <c r="F69" s="49">
        <v>60000.0</v>
      </c>
      <c r="G69" s="128" t="s">
        <v>1110</v>
      </c>
      <c r="H69" s="73" t="str">
        <f t="shared" si="1"/>
        <v>🟢 Pagado</v>
      </c>
      <c r="I69" s="128" t="s">
        <v>1102</v>
      </c>
      <c r="J69" s="73" t="s">
        <v>247</v>
      </c>
      <c r="K69" s="130">
        <v>2026.0</v>
      </c>
      <c r="L69" s="73" t="s">
        <v>1017</v>
      </c>
      <c r="M69" s="73" t="s">
        <v>170</v>
      </c>
      <c r="N69" s="52">
        <f t="shared" si="2"/>
        <v>0</v>
      </c>
      <c r="O69" s="129"/>
      <c r="P69" s="214" t="str">
        <f>IF(ISBLANK(A69), "", IF(AND(LOWER(TRIM(J69))=LOWER(TRIM(PANEL!$L$2)), K69=PANEL!$I$2), MAX($P$3:P68)+1, ""))</f>
        <v/>
      </c>
    </row>
    <row r="70" ht="21.75" customHeight="1">
      <c r="A70" s="142" t="s">
        <v>1111</v>
      </c>
      <c r="B70" s="211" t="s">
        <v>411</v>
      </c>
      <c r="C70" s="145" t="s">
        <v>155</v>
      </c>
      <c r="D70" s="143">
        <v>15.0</v>
      </c>
      <c r="E70" s="43">
        <v>35000.0</v>
      </c>
      <c r="F70" s="41">
        <v>35000.0</v>
      </c>
      <c r="G70" s="144" t="s">
        <v>1108</v>
      </c>
      <c r="H70" s="68" t="str">
        <f t="shared" si="1"/>
        <v>🟢 Pagado</v>
      </c>
      <c r="I70" s="144" t="s">
        <v>1102</v>
      </c>
      <c r="J70" s="68" t="s">
        <v>247</v>
      </c>
      <c r="K70" s="143">
        <v>2026.0</v>
      </c>
      <c r="L70" s="68" t="s">
        <v>1017</v>
      </c>
      <c r="M70" s="68" t="s">
        <v>158</v>
      </c>
      <c r="N70" s="43">
        <f t="shared" si="2"/>
        <v>0</v>
      </c>
      <c r="O70" s="145"/>
      <c r="P70" s="212" t="str">
        <f>IF(ISBLANK(A70), "", IF(AND(LOWER(TRIM(J70))=LOWER(TRIM(PANEL!$L$2)), K70=PANEL!$I$2), MAX($P$3:P69)+1, ""))</f>
        <v/>
      </c>
    </row>
    <row r="71" ht="21.75" customHeight="1">
      <c r="A71" s="127" t="s">
        <v>1112</v>
      </c>
      <c r="B71" s="213" t="s">
        <v>333</v>
      </c>
      <c r="C71" s="129" t="s">
        <v>139</v>
      </c>
      <c r="D71" s="130">
        <v>15.0</v>
      </c>
      <c r="E71" s="52">
        <v>10000.0</v>
      </c>
      <c r="F71" s="49">
        <v>10000.0</v>
      </c>
      <c r="G71" s="128" t="s">
        <v>1113</v>
      </c>
      <c r="H71" s="73" t="str">
        <f t="shared" si="1"/>
        <v>🟢 Pagado</v>
      </c>
      <c r="I71" s="128" t="s">
        <v>1102</v>
      </c>
      <c r="J71" s="73" t="s">
        <v>247</v>
      </c>
      <c r="K71" s="130">
        <v>2026.0</v>
      </c>
      <c r="L71" s="73" t="s">
        <v>1017</v>
      </c>
      <c r="M71" s="73" t="s">
        <v>158</v>
      </c>
      <c r="N71" s="52">
        <f t="shared" si="2"/>
        <v>0</v>
      </c>
      <c r="O71" s="129"/>
      <c r="P71" s="214" t="str">
        <f>IF(ISBLANK(A71), "", IF(AND(LOWER(TRIM(J71))=LOWER(TRIM(PANEL!$L$2)), K71=PANEL!$I$2), MAX($P$3:P70)+1, ""))</f>
        <v/>
      </c>
    </row>
    <row r="72" ht="21.75" customHeight="1">
      <c r="A72" s="142" t="s">
        <v>1114</v>
      </c>
      <c r="B72" s="211" t="s">
        <v>400</v>
      </c>
      <c r="C72" s="145" t="s">
        <v>179</v>
      </c>
      <c r="D72" s="143">
        <v>15.0</v>
      </c>
      <c r="E72" s="43">
        <v>39000.0</v>
      </c>
      <c r="F72" s="41">
        <v>43900.0</v>
      </c>
      <c r="G72" s="144" t="s">
        <v>1115</v>
      </c>
      <c r="H72" s="68" t="str">
        <f t="shared" si="1"/>
        <v>🟢 Pagado</v>
      </c>
      <c r="I72" s="144" t="s">
        <v>1102</v>
      </c>
      <c r="J72" s="68" t="s">
        <v>247</v>
      </c>
      <c r="K72" s="143">
        <v>2026.0</v>
      </c>
      <c r="L72" s="68" t="s">
        <v>1017</v>
      </c>
      <c r="M72" s="68" t="s">
        <v>170</v>
      </c>
      <c r="N72" s="43">
        <f t="shared" si="2"/>
        <v>0</v>
      </c>
      <c r="O72" s="145"/>
      <c r="P72" s="212" t="str">
        <f>IF(ISBLANK(A72), "", IF(AND(LOWER(TRIM(J72))=LOWER(TRIM(PANEL!$L$2)), K72=PANEL!$I$2), MAX($P$3:P71)+1, ""))</f>
        <v/>
      </c>
    </row>
    <row r="73" ht="21.75" customHeight="1">
      <c r="A73" s="127" t="s">
        <v>1116</v>
      </c>
      <c r="B73" s="213" t="s">
        <v>50</v>
      </c>
      <c r="C73" s="129" t="s">
        <v>173</v>
      </c>
      <c r="D73" s="130">
        <v>30.0</v>
      </c>
      <c r="E73" s="52">
        <v>900000.0</v>
      </c>
      <c r="F73" s="49">
        <v>0.0</v>
      </c>
      <c r="G73" s="128"/>
      <c r="H73" s="73" t="str">
        <f t="shared" si="1"/>
        <v>🔴 Pendiente</v>
      </c>
      <c r="I73" s="128" t="s">
        <v>1102</v>
      </c>
      <c r="J73" s="73" t="s">
        <v>247</v>
      </c>
      <c r="K73" s="130">
        <v>2026.0</v>
      </c>
      <c r="L73" s="73" t="s">
        <v>1017</v>
      </c>
      <c r="M73" s="73" t="s">
        <v>170</v>
      </c>
      <c r="N73" s="52">
        <f t="shared" si="2"/>
        <v>900000</v>
      </c>
      <c r="O73" s="129"/>
      <c r="P73" s="214" t="str">
        <f>IF(ISBLANK(A73), "", IF(AND(LOWER(TRIM(J73))=LOWER(TRIM(PANEL!$L$2)), K73=PANEL!$I$2), MAX($P$3:P72)+1, ""))</f>
        <v/>
      </c>
    </row>
    <row r="74" ht="21.75" customHeight="1">
      <c r="A74" s="142" t="s">
        <v>1117</v>
      </c>
      <c r="B74" s="211" t="s">
        <v>397</v>
      </c>
      <c r="C74" s="145" t="s">
        <v>179</v>
      </c>
      <c r="D74" s="143">
        <v>30.0</v>
      </c>
      <c r="E74" s="43">
        <v>20000.0</v>
      </c>
      <c r="F74" s="41">
        <v>20000.0</v>
      </c>
      <c r="G74" s="144" t="s">
        <v>1115</v>
      </c>
      <c r="H74" s="68" t="str">
        <f t="shared" si="1"/>
        <v>🟢 Pagado</v>
      </c>
      <c r="I74" s="144" t="s">
        <v>1102</v>
      </c>
      <c r="J74" s="68" t="s">
        <v>247</v>
      </c>
      <c r="K74" s="143">
        <v>2026.0</v>
      </c>
      <c r="L74" s="68" t="s">
        <v>1017</v>
      </c>
      <c r="M74" s="68" t="s">
        <v>170</v>
      </c>
      <c r="N74" s="43">
        <f t="shared" si="2"/>
        <v>0</v>
      </c>
      <c r="O74" s="145"/>
      <c r="P74" s="212" t="str">
        <f>IF(ISBLANK(A74), "", IF(AND(LOWER(TRIM(J74))=LOWER(TRIM(PANEL!$L$2)), K74=PANEL!$I$2), MAX($P$3:P73)+1, ""))</f>
        <v/>
      </c>
    </row>
    <row r="75" ht="21.75" customHeight="1">
      <c r="A75" s="127" t="s">
        <v>1118</v>
      </c>
      <c r="B75" s="213" t="s">
        <v>411</v>
      </c>
      <c r="C75" s="129" t="s">
        <v>155</v>
      </c>
      <c r="D75" s="130">
        <v>30.0</v>
      </c>
      <c r="E75" s="52">
        <v>25000.0</v>
      </c>
      <c r="F75" s="49">
        <v>0.0</v>
      </c>
      <c r="G75" s="128"/>
      <c r="H75" s="73" t="str">
        <f t="shared" si="1"/>
        <v>🔴 Pendiente</v>
      </c>
      <c r="I75" s="128" t="s">
        <v>1102</v>
      </c>
      <c r="J75" s="73" t="s">
        <v>247</v>
      </c>
      <c r="K75" s="130">
        <v>2026.0</v>
      </c>
      <c r="L75" s="73" t="s">
        <v>1017</v>
      </c>
      <c r="M75" s="73" t="s">
        <v>170</v>
      </c>
      <c r="N75" s="52">
        <f t="shared" si="2"/>
        <v>25000</v>
      </c>
      <c r="O75" s="129"/>
      <c r="P75" s="214" t="str">
        <f>IF(ISBLANK(A75), "", IF(AND(LOWER(TRIM(J75))=LOWER(TRIM(PANEL!$L$2)), K75=PANEL!$I$2), MAX($P$3:P74)+1, ""))</f>
        <v/>
      </c>
    </row>
    <row r="76" ht="21.75" customHeight="1">
      <c r="A76" s="142" t="s">
        <v>1119</v>
      </c>
      <c r="B76" s="211" t="s">
        <v>477</v>
      </c>
      <c r="C76" s="145" t="s">
        <v>258</v>
      </c>
      <c r="D76" s="143">
        <v>30.0</v>
      </c>
      <c r="E76" s="43">
        <v>40000.0</v>
      </c>
      <c r="F76" s="41">
        <v>0.0</v>
      </c>
      <c r="G76" s="144"/>
      <c r="H76" s="68" t="str">
        <f t="shared" si="1"/>
        <v>🔴 Pendiente</v>
      </c>
      <c r="I76" s="144" t="s">
        <v>1102</v>
      </c>
      <c r="J76" s="68" t="s">
        <v>247</v>
      </c>
      <c r="K76" s="143">
        <v>2026.0</v>
      </c>
      <c r="L76" s="68" t="s">
        <v>1017</v>
      </c>
      <c r="M76" s="68" t="s">
        <v>170</v>
      </c>
      <c r="N76" s="43">
        <f t="shared" si="2"/>
        <v>40000</v>
      </c>
      <c r="O76" s="145"/>
      <c r="P76" s="212" t="str">
        <f>IF(ISBLANK(A76), "", IF(AND(LOWER(TRIM(J76))=LOWER(TRIM(PANEL!$L$2)), K76=PANEL!$I$2), MAX($P$3:P75)+1, ""))</f>
        <v/>
      </c>
    </row>
    <row r="77" ht="21.75" customHeight="1">
      <c r="A77" s="127" t="s">
        <v>1120</v>
      </c>
      <c r="B77" s="213" t="s">
        <v>364</v>
      </c>
      <c r="C77" s="129" t="s">
        <v>48</v>
      </c>
      <c r="D77" s="130">
        <v>30.0</v>
      </c>
      <c r="E77" s="52">
        <v>200000.0</v>
      </c>
      <c r="F77" s="49">
        <v>0.0</v>
      </c>
      <c r="G77" s="128"/>
      <c r="H77" s="73" t="str">
        <f t="shared" si="1"/>
        <v>🔴 Pendiente</v>
      </c>
      <c r="I77" s="128" t="s">
        <v>1102</v>
      </c>
      <c r="J77" s="73" t="s">
        <v>247</v>
      </c>
      <c r="K77" s="130">
        <v>2026.0</v>
      </c>
      <c r="L77" s="73" t="s">
        <v>1017</v>
      </c>
      <c r="M77" s="73" t="s">
        <v>170</v>
      </c>
      <c r="N77" s="52">
        <f t="shared" si="2"/>
        <v>200000</v>
      </c>
      <c r="O77" s="129"/>
      <c r="P77" s="214" t="str">
        <f>IF(ISBLANK(A77), "", IF(AND(LOWER(TRIM(J77))=LOWER(TRIM(PANEL!$L$2)), K77=PANEL!$I$2), MAX($P$3:P76)+1, ""))</f>
        <v/>
      </c>
    </row>
    <row r="78" ht="21.75" customHeight="1">
      <c r="A78" s="142" t="s">
        <v>1121</v>
      </c>
      <c r="B78" s="211" t="s">
        <v>436</v>
      </c>
      <c r="C78" s="145" t="s">
        <v>155</v>
      </c>
      <c r="D78" s="143">
        <v>30.0</v>
      </c>
      <c r="E78" s="43">
        <v>40000.0</v>
      </c>
      <c r="F78" s="41">
        <v>0.0</v>
      </c>
      <c r="G78" s="144"/>
      <c r="H78" s="68" t="str">
        <f t="shared" si="1"/>
        <v>🔴 Pendiente</v>
      </c>
      <c r="I78" s="144" t="s">
        <v>1102</v>
      </c>
      <c r="J78" s="68" t="s">
        <v>247</v>
      </c>
      <c r="K78" s="143">
        <v>2026.0</v>
      </c>
      <c r="L78" s="68" t="s">
        <v>1017</v>
      </c>
      <c r="M78" s="68" t="s">
        <v>170</v>
      </c>
      <c r="N78" s="43">
        <f t="shared" si="2"/>
        <v>40000</v>
      </c>
      <c r="O78" s="145"/>
      <c r="P78" s="212" t="str">
        <f>IF(ISBLANK(A78), "", IF(AND(LOWER(TRIM(J78))=LOWER(TRIM(PANEL!$L$2)), K78=PANEL!$I$2), MAX($P$3:P77)+1, ""))</f>
        <v/>
      </c>
    </row>
    <row r="79" ht="21.75" customHeight="1">
      <c r="A79" s="127" t="s">
        <v>1122</v>
      </c>
      <c r="B79" s="213" t="s">
        <v>1123</v>
      </c>
      <c r="C79" s="129" t="s">
        <v>271</v>
      </c>
      <c r="D79" s="130">
        <v>15.0</v>
      </c>
      <c r="E79" s="52">
        <v>50000.0</v>
      </c>
      <c r="F79" s="49">
        <v>50000.0</v>
      </c>
      <c r="G79" s="128" t="s">
        <v>1101</v>
      </c>
      <c r="H79" s="73" t="str">
        <f t="shared" si="1"/>
        <v>🟢 Pagado</v>
      </c>
      <c r="I79" s="128" t="s">
        <v>1102</v>
      </c>
      <c r="J79" s="73" t="s">
        <v>247</v>
      </c>
      <c r="K79" s="130">
        <v>2026.0</v>
      </c>
      <c r="L79" s="73" t="s">
        <v>1017</v>
      </c>
      <c r="M79" s="73" t="s">
        <v>158</v>
      </c>
      <c r="N79" s="52">
        <f t="shared" si="2"/>
        <v>0</v>
      </c>
      <c r="O79" s="129"/>
      <c r="P79" s="214" t="str">
        <f>IF(ISBLANK(A79), "", IF(AND(LOWER(TRIM(J79))=LOWER(TRIM(PANEL!$L$2)), K79=PANEL!$I$2), MAX($P$3:P78)+1, ""))</f>
        <v/>
      </c>
    </row>
    <row r="80" ht="21.75" customHeight="1">
      <c r="A80" s="142" t="s">
        <v>1124</v>
      </c>
      <c r="B80" s="211" t="s">
        <v>1100</v>
      </c>
      <c r="C80" s="145" t="s">
        <v>179</v>
      </c>
      <c r="D80" s="143">
        <v>15.0</v>
      </c>
      <c r="E80" s="215">
        <v>120000.0</v>
      </c>
      <c r="F80" s="216">
        <v>120000.0</v>
      </c>
      <c r="G80" s="217">
        <v>46285.0</v>
      </c>
      <c r="H80" s="68" t="str">
        <f t="shared" si="1"/>
        <v>🟢 Pagado</v>
      </c>
      <c r="I80" s="144" t="s">
        <v>1106</v>
      </c>
      <c r="J80" s="68" t="s">
        <v>175</v>
      </c>
      <c r="K80" s="143">
        <v>2026.0</v>
      </c>
      <c r="L80" s="68" t="s">
        <v>1017</v>
      </c>
      <c r="M80" s="68" t="s">
        <v>158</v>
      </c>
      <c r="N80" s="43">
        <f t="shared" si="2"/>
        <v>0</v>
      </c>
      <c r="O80" s="145"/>
      <c r="P80" s="212" t="str">
        <f>IF(ISBLANK(A80), "", IF(AND(LOWER(TRIM(J80))=LOWER(TRIM(PANEL!$L$2)), K80=PANEL!$I$2), MAX($P$3:P79)+1, ""))</f>
        <v/>
      </c>
    </row>
    <row r="81" ht="21.75" customHeight="1">
      <c r="A81" s="127" t="s">
        <v>1125</v>
      </c>
      <c r="B81" s="213" t="s">
        <v>364</v>
      </c>
      <c r="C81" s="129" t="s">
        <v>48</v>
      </c>
      <c r="D81" s="130">
        <v>15.0</v>
      </c>
      <c r="E81" s="52">
        <v>850000.0</v>
      </c>
      <c r="F81" s="49">
        <v>650000.0</v>
      </c>
      <c r="G81" s="128" t="s">
        <v>319</v>
      </c>
      <c r="H81" s="73" t="str">
        <f t="shared" si="1"/>
        <v>🟡 Abono Parcial</v>
      </c>
      <c r="I81" s="128" t="s">
        <v>1106</v>
      </c>
      <c r="J81" s="73" t="s">
        <v>175</v>
      </c>
      <c r="K81" s="130">
        <v>2026.0</v>
      </c>
      <c r="L81" s="73" t="s">
        <v>1017</v>
      </c>
      <c r="M81" s="73" t="s">
        <v>158</v>
      </c>
      <c r="N81" s="52">
        <f t="shared" si="2"/>
        <v>200000</v>
      </c>
      <c r="O81" s="129"/>
      <c r="P81" s="214" t="str">
        <f>IF(ISBLANK(A81), "", IF(AND(LOWER(TRIM(J81))=LOWER(TRIM(PANEL!$L$2)), K81=PANEL!$I$2), MAX($P$3:P80)+1, ""))</f>
        <v/>
      </c>
    </row>
    <row r="82" ht="21.75" customHeight="1">
      <c r="A82" s="142" t="s">
        <v>1126</v>
      </c>
      <c r="B82" s="211" t="s">
        <v>471</v>
      </c>
      <c r="C82" s="145" t="s">
        <v>179</v>
      </c>
      <c r="D82" s="143">
        <v>15.0</v>
      </c>
      <c r="E82" s="43">
        <v>120000.0</v>
      </c>
      <c r="F82" s="41">
        <v>0.0</v>
      </c>
      <c r="G82" s="144"/>
      <c r="H82" s="68" t="str">
        <f t="shared" si="1"/>
        <v>🔴 Pendiente</v>
      </c>
      <c r="I82" s="144" t="s">
        <v>1106</v>
      </c>
      <c r="J82" s="68" t="s">
        <v>175</v>
      </c>
      <c r="K82" s="143">
        <v>2026.0</v>
      </c>
      <c r="L82" s="68" t="s">
        <v>1017</v>
      </c>
      <c r="M82" s="68" t="s">
        <v>158</v>
      </c>
      <c r="N82" s="43">
        <f t="shared" si="2"/>
        <v>120000</v>
      </c>
      <c r="O82" s="145"/>
      <c r="P82" s="212" t="str">
        <f>IF(ISBLANK(A82), "", IF(AND(LOWER(TRIM(J82))=LOWER(TRIM(PANEL!$L$2)), K82=PANEL!$I$2), MAX($P$3:P81)+1, ""))</f>
        <v/>
      </c>
    </row>
    <row r="83" ht="21.75" customHeight="1">
      <c r="A83" s="127" t="s">
        <v>1127</v>
      </c>
      <c r="B83" s="213" t="s">
        <v>477</v>
      </c>
      <c r="C83" s="129" t="s">
        <v>258</v>
      </c>
      <c r="D83" s="130">
        <v>15.0</v>
      </c>
      <c r="E83" s="52">
        <v>40000.0</v>
      </c>
      <c r="F83" s="49">
        <v>8500.0</v>
      </c>
      <c r="G83" s="128">
        <v>46286.0</v>
      </c>
      <c r="H83" s="73" t="str">
        <f t="shared" si="1"/>
        <v>🟡 Abono Parcial</v>
      </c>
      <c r="I83" s="128" t="s">
        <v>1106</v>
      </c>
      <c r="J83" s="73" t="s">
        <v>175</v>
      </c>
      <c r="K83" s="130">
        <v>2026.0</v>
      </c>
      <c r="L83" s="73" t="s">
        <v>1017</v>
      </c>
      <c r="M83" s="73" t="s">
        <v>158</v>
      </c>
      <c r="N83" s="52">
        <f t="shared" si="2"/>
        <v>31500</v>
      </c>
      <c r="O83" s="129"/>
      <c r="P83" s="214" t="str">
        <f>IF(ISBLANK(A83), "", IF(AND(LOWER(TRIM(J83))=LOWER(TRIM(PANEL!$L$2)), K83=PANEL!$I$2), MAX($P$3:P82)+1, ""))</f>
        <v/>
      </c>
    </row>
    <row r="84" ht="21.75" customHeight="1">
      <c r="A84" s="142" t="s">
        <v>1128</v>
      </c>
      <c r="B84" s="211" t="s">
        <v>1123</v>
      </c>
      <c r="C84" s="145" t="s">
        <v>271</v>
      </c>
      <c r="D84" s="143">
        <v>15.0</v>
      </c>
      <c r="E84" s="43">
        <v>50000.0</v>
      </c>
      <c r="F84" s="41">
        <v>60000.0</v>
      </c>
      <c r="G84" s="144" t="s">
        <v>319</v>
      </c>
      <c r="H84" s="68" t="str">
        <f t="shared" si="1"/>
        <v>🟢 Pagado</v>
      </c>
      <c r="I84" s="144" t="s">
        <v>1106</v>
      </c>
      <c r="J84" s="68" t="s">
        <v>175</v>
      </c>
      <c r="K84" s="143">
        <v>2026.0</v>
      </c>
      <c r="L84" s="68" t="s">
        <v>1017</v>
      </c>
      <c r="M84" s="68" t="s">
        <v>158</v>
      </c>
      <c r="N84" s="43">
        <f t="shared" si="2"/>
        <v>0</v>
      </c>
      <c r="O84" s="145"/>
      <c r="P84" s="212" t="str">
        <f>IF(ISBLANK(A84), "", IF(AND(LOWER(TRIM(J84))=LOWER(TRIM(PANEL!$L$2)), K84=PANEL!$I$2), MAX($P$3:P83)+1, ""))</f>
        <v/>
      </c>
    </row>
    <row r="85" ht="21.75" customHeight="1">
      <c r="A85" s="127" t="s">
        <v>1129</v>
      </c>
      <c r="B85" s="213" t="s">
        <v>436</v>
      </c>
      <c r="C85" s="129" t="s">
        <v>155</v>
      </c>
      <c r="D85" s="130">
        <v>15.0</v>
      </c>
      <c r="E85" s="52">
        <v>60000.0</v>
      </c>
      <c r="F85" s="49">
        <v>0.0</v>
      </c>
      <c r="G85" s="128"/>
      <c r="H85" s="73" t="str">
        <f t="shared" si="1"/>
        <v>🔴 Pendiente</v>
      </c>
      <c r="I85" s="128" t="s">
        <v>1106</v>
      </c>
      <c r="J85" s="73" t="s">
        <v>175</v>
      </c>
      <c r="K85" s="130">
        <v>2026.0</v>
      </c>
      <c r="L85" s="73" t="s">
        <v>1017</v>
      </c>
      <c r="M85" s="73" t="s">
        <v>170</v>
      </c>
      <c r="N85" s="52">
        <f t="shared" si="2"/>
        <v>60000</v>
      </c>
      <c r="O85" s="129"/>
      <c r="P85" s="214" t="str">
        <f>IF(ISBLANK(A85), "", IF(AND(LOWER(TRIM(J85))=LOWER(TRIM(PANEL!$L$2)), K85=PANEL!$I$2), MAX($P$3:P84)+1, ""))</f>
        <v/>
      </c>
    </row>
    <row r="86" ht="21.75" customHeight="1">
      <c r="A86" s="142" t="s">
        <v>1130</v>
      </c>
      <c r="B86" s="211" t="s">
        <v>411</v>
      </c>
      <c r="C86" s="145" t="s">
        <v>155</v>
      </c>
      <c r="D86" s="143">
        <v>15.0</v>
      </c>
      <c r="E86" s="43">
        <v>35000.0</v>
      </c>
      <c r="F86" s="41">
        <v>0.0</v>
      </c>
      <c r="G86" s="144"/>
      <c r="H86" s="68" t="str">
        <f t="shared" si="1"/>
        <v>🔴 Pendiente</v>
      </c>
      <c r="I86" s="144" t="s">
        <v>1106</v>
      </c>
      <c r="J86" s="68" t="s">
        <v>175</v>
      </c>
      <c r="K86" s="143">
        <v>2026.0</v>
      </c>
      <c r="L86" s="68" t="s">
        <v>1017</v>
      </c>
      <c r="M86" s="68" t="s">
        <v>158</v>
      </c>
      <c r="N86" s="43">
        <f t="shared" si="2"/>
        <v>35000</v>
      </c>
      <c r="O86" s="145"/>
      <c r="P86" s="212" t="str">
        <f>IF(ISBLANK(A86), "", IF(AND(LOWER(TRIM(J86))=LOWER(TRIM(PANEL!$L$2)), K86=PANEL!$I$2), MAX($P$3:P85)+1, ""))</f>
        <v/>
      </c>
    </row>
    <row r="87" ht="21.75" customHeight="1">
      <c r="A87" s="127" t="s">
        <v>1131</v>
      </c>
      <c r="B87" s="213" t="s">
        <v>333</v>
      </c>
      <c r="C87" s="129" t="s">
        <v>139</v>
      </c>
      <c r="D87" s="130">
        <v>15.0</v>
      </c>
      <c r="E87" s="52">
        <v>10000.0</v>
      </c>
      <c r="F87" s="49">
        <v>10000.0</v>
      </c>
      <c r="G87" s="128" t="s">
        <v>319</v>
      </c>
      <c r="H87" s="73" t="str">
        <f t="shared" si="1"/>
        <v>🟢 Pagado</v>
      </c>
      <c r="I87" s="128" t="s">
        <v>1106</v>
      </c>
      <c r="J87" s="73" t="s">
        <v>175</v>
      </c>
      <c r="K87" s="130">
        <v>2026.0</v>
      </c>
      <c r="L87" s="73" t="s">
        <v>1017</v>
      </c>
      <c r="M87" s="73" t="s">
        <v>158</v>
      </c>
      <c r="N87" s="52">
        <f t="shared" si="2"/>
        <v>0</v>
      </c>
      <c r="O87" s="129"/>
      <c r="P87" s="214" t="str">
        <f>IF(ISBLANK(A87), "", IF(AND(LOWER(TRIM(J87))=LOWER(TRIM(PANEL!$L$2)), K87=PANEL!$I$2), MAX($P$3:P86)+1, ""))</f>
        <v/>
      </c>
    </row>
    <row r="88" ht="21.75" customHeight="1">
      <c r="A88" s="142" t="s">
        <v>1132</v>
      </c>
      <c r="B88" s="211" t="s">
        <v>400</v>
      </c>
      <c r="C88" s="145" t="s">
        <v>179</v>
      </c>
      <c r="D88" s="143">
        <v>15.0</v>
      </c>
      <c r="E88" s="43">
        <v>43900.0</v>
      </c>
      <c r="F88" s="41">
        <v>43900.0</v>
      </c>
      <c r="G88" s="144">
        <v>46297.0</v>
      </c>
      <c r="H88" s="68" t="str">
        <f t="shared" si="1"/>
        <v>🟢 Pagado</v>
      </c>
      <c r="I88" s="144" t="s">
        <v>1106</v>
      </c>
      <c r="J88" s="68" t="s">
        <v>175</v>
      </c>
      <c r="K88" s="143">
        <v>2026.0</v>
      </c>
      <c r="L88" s="68" t="s">
        <v>1017</v>
      </c>
      <c r="M88" s="68" t="s">
        <v>170</v>
      </c>
      <c r="N88" s="43">
        <f t="shared" si="2"/>
        <v>0</v>
      </c>
      <c r="O88" s="145"/>
      <c r="P88" s="212" t="str">
        <f>IF(ISBLANK(A88), "", IF(AND(LOWER(TRIM(J88))=LOWER(TRIM(PANEL!$L$2)), K88=PANEL!$I$2), MAX($P$3:P87)+1, ""))</f>
        <v/>
      </c>
    </row>
    <row r="89" ht="21.75" customHeight="1">
      <c r="A89" s="127" t="s">
        <v>1133</v>
      </c>
      <c r="B89" s="213" t="s">
        <v>50</v>
      </c>
      <c r="C89" s="129" t="s">
        <v>173</v>
      </c>
      <c r="D89" s="130">
        <v>30.0</v>
      </c>
      <c r="E89" s="52">
        <v>900000.0</v>
      </c>
      <c r="F89" s="49">
        <v>900000.0</v>
      </c>
      <c r="G89" s="128">
        <v>46297.0</v>
      </c>
      <c r="H89" s="73" t="str">
        <f t="shared" si="1"/>
        <v>🟢 Pagado</v>
      </c>
      <c r="I89" s="128" t="s">
        <v>1106</v>
      </c>
      <c r="J89" s="73" t="s">
        <v>175</v>
      </c>
      <c r="K89" s="130">
        <v>2026.0</v>
      </c>
      <c r="L89" s="73" t="s">
        <v>1017</v>
      </c>
      <c r="M89" s="73" t="s">
        <v>170</v>
      </c>
      <c r="N89" s="52">
        <f t="shared" si="2"/>
        <v>0</v>
      </c>
      <c r="O89" s="129"/>
      <c r="P89" s="214" t="str">
        <f>IF(ISBLANK(A89), "", IF(AND(LOWER(TRIM(J89))=LOWER(TRIM(PANEL!$L$2)), K89=PANEL!$I$2), MAX($P$3:P88)+1, ""))</f>
        <v/>
      </c>
    </row>
    <row r="90" ht="21.75" customHeight="1">
      <c r="A90" s="142" t="s">
        <v>1134</v>
      </c>
      <c r="B90" s="211" t="s">
        <v>397</v>
      </c>
      <c r="C90" s="145" t="s">
        <v>179</v>
      </c>
      <c r="D90" s="143">
        <v>30.0</v>
      </c>
      <c r="E90" s="43">
        <v>20000.0</v>
      </c>
      <c r="F90" s="41">
        <v>20000.0</v>
      </c>
      <c r="G90" s="144">
        <v>46285.0</v>
      </c>
      <c r="H90" s="68" t="str">
        <f t="shared" si="1"/>
        <v>🟢 Pagado</v>
      </c>
      <c r="I90" s="144" t="s">
        <v>1106</v>
      </c>
      <c r="J90" s="68" t="s">
        <v>175</v>
      </c>
      <c r="K90" s="143">
        <v>2026.0</v>
      </c>
      <c r="L90" s="68" t="s">
        <v>1017</v>
      </c>
      <c r="M90" s="68" t="s">
        <v>170</v>
      </c>
      <c r="N90" s="43">
        <f t="shared" si="2"/>
        <v>0</v>
      </c>
      <c r="O90" s="145"/>
      <c r="P90" s="212" t="str">
        <f>IF(ISBLANK(A90), "", IF(AND(LOWER(TRIM(J90))=LOWER(TRIM(PANEL!$L$2)), K90=PANEL!$I$2), MAX($P$3:P89)+1, ""))</f>
        <v/>
      </c>
    </row>
    <row r="91" ht="21.75" customHeight="1">
      <c r="A91" s="127" t="s">
        <v>1135</v>
      </c>
      <c r="B91" s="213" t="s">
        <v>411</v>
      </c>
      <c r="C91" s="129" t="s">
        <v>155</v>
      </c>
      <c r="D91" s="130">
        <v>30.0</v>
      </c>
      <c r="E91" s="52">
        <v>25000.0</v>
      </c>
      <c r="F91" s="49">
        <v>0.0</v>
      </c>
      <c r="G91" s="128"/>
      <c r="H91" s="73" t="str">
        <f t="shared" si="1"/>
        <v>🔴 Pendiente</v>
      </c>
      <c r="I91" s="128" t="s">
        <v>1106</v>
      </c>
      <c r="J91" s="73" t="s">
        <v>175</v>
      </c>
      <c r="K91" s="130">
        <v>2026.0</v>
      </c>
      <c r="L91" s="73" t="s">
        <v>1017</v>
      </c>
      <c r="M91" s="73" t="s">
        <v>170</v>
      </c>
      <c r="N91" s="52">
        <f t="shared" si="2"/>
        <v>25000</v>
      </c>
      <c r="O91" s="129"/>
      <c r="P91" s="214" t="str">
        <f>IF(ISBLANK(A91), "", IF(AND(LOWER(TRIM(J91))=LOWER(TRIM(PANEL!$L$2)), K91=PANEL!$I$2), MAX($P$3:P90)+1, ""))</f>
        <v/>
      </c>
    </row>
    <row r="92" ht="21.75" customHeight="1">
      <c r="A92" s="142" t="s">
        <v>1136</v>
      </c>
      <c r="B92" s="211" t="s">
        <v>477</v>
      </c>
      <c r="C92" s="145" t="s">
        <v>258</v>
      </c>
      <c r="D92" s="143">
        <v>30.0</v>
      </c>
      <c r="E92" s="43">
        <v>40000.0</v>
      </c>
      <c r="F92" s="41">
        <v>0.0</v>
      </c>
      <c r="G92" s="144"/>
      <c r="H92" s="68" t="str">
        <f t="shared" si="1"/>
        <v>🔴 Pendiente</v>
      </c>
      <c r="I92" s="144" t="s">
        <v>1106</v>
      </c>
      <c r="J92" s="68" t="s">
        <v>175</v>
      </c>
      <c r="K92" s="143">
        <v>2026.0</v>
      </c>
      <c r="L92" s="68" t="s">
        <v>1017</v>
      </c>
      <c r="M92" s="68" t="s">
        <v>170</v>
      </c>
      <c r="N92" s="43">
        <f t="shared" si="2"/>
        <v>40000</v>
      </c>
      <c r="O92" s="145"/>
      <c r="P92" s="212" t="str">
        <f>IF(ISBLANK(A92), "", IF(AND(LOWER(TRIM(J92))=LOWER(TRIM(PANEL!$L$2)), K92=PANEL!$I$2), MAX($P$3:P91)+1, ""))</f>
        <v/>
      </c>
    </row>
    <row r="93" ht="21.75" customHeight="1">
      <c r="A93" s="127" t="s">
        <v>1137</v>
      </c>
      <c r="B93" s="213" t="s">
        <v>364</v>
      </c>
      <c r="C93" s="129" t="s">
        <v>48</v>
      </c>
      <c r="D93" s="130">
        <v>30.0</v>
      </c>
      <c r="E93" s="52">
        <v>200000.0</v>
      </c>
      <c r="F93" s="49">
        <v>0.0</v>
      </c>
      <c r="G93" s="128"/>
      <c r="H93" s="73" t="str">
        <f t="shared" si="1"/>
        <v>🔴 Pendiente</v>
      </c>
      <c r="I93" s="128" t="s">
        <v>1106</v>
      </c>
      <c r="J93" s="73" t="s">
        <v>175</v>
      </c>
      <c r="K93" s="130">
        <v>2026.0</v>
      </c>
      <c r="L93" s="73" t="s">
        <v>1017</v>
      </c>
      <c r="M93" s="73" t="s">
        <v>170</v>
      </c>
      <c r="N93" s="52">
        <f t="shared" si="2"/>
        <v>200000</v>
      </c>
      <c r="O93" s="129"/>
      <c r="P93" s="214" t="str">
        <f>IF(ISBLANK(A93), "", IF(AND(LOWER(TRIM(J93))=LOWER(TRIM(PANEL!$L$2)), K93=PANEL!$I$2), MAX($P$3:P92)+1, ""))</f>
        <v/>
      </c>
    </row>
    <row r="94" ht="21.75" customHeight="1">
      <c r="A94" s="142" t="s">
        <v>1138</v>
      </c>
      <c r="B94" s="211" t="s">
        <v>436</v>
      </c>
      <c r="C94" s="145" t="s">
        <v>155</v>
      </c>
      <c r="D94" s="143">
        <v>30.0</v>
      </c>
      <c r="E94" s="43">
        <v>40000.0</v>
      </c>
      <c r="F94" s="41">
        <v>0.0</v>
      </c>
      <c r="G94" s="144"/>
      <c r="H94" s="68" t="str">
        <f t="shared" si="1"/>
        <v>🔴 Pendiente</v>
      </c>
      <c r="I94" s="144" t="s">
        <v>1106</v>
      </c>
      <c r="J94" s="68" t="s">
        <v>175</v>
      </c>
      <c r="K94" s="143">
        <v>2026.0</v>
      </c>
      <c r="L94" s="68" t="s">
        <v>1017</v>
      </c>
      <c r="M94" s="68" t="s">
        <v>170</v>
      </c>
      <c r="N94" s="43">
        <f t="shared" si="2"/>
        <v>40000</v>
      </c>
      <c r="O94" s="145"/>
      <c r="P94" s="212" t="str">
        <f>IF(ISBLANK(A94), "", IF(AND(LOWER(TRIM(J94))=LOWER(TRIM(PANEL!$L$2)), K94=PANEL!$I$2), MAX($P$3:P93)+1, ""))</f>
        <v/>
      </c>
    </row>
    <row r="95" ht="21.75" customHeight="1">
      <c r="A95" s="127" t="s">
        <v>1139</v>
      </c>
      <c r="B95" s="213" t="s">
        <v>1100</v>
      </c>
      <c r="C95" s="129" t="s">
        <v>179</v>
      </c>
      <c r="D95" s="130">
        <v>15.0</v>
      </c>
      <c r="E95" s="52">
        <v>177000.0</v>
      </c>
      <c r="F95" s="49">
        <v>0.0</v>
      </c>
      <c r="G95" s="128"/>
      <c r="H95" s="73" t="str">
        <f t="shared" si="1"/>
        <v>🔴 Pendiente</v>
      </c>
      <c r="I95" s="128" t="s">
        <v>1140</v>
      </c>
      <c r="J95" s="73" t="s">
        <v>3</v>
      </c>
      <c r="K95" s="130">
        <v>2026.0</v>
      </c>
      <c r="L95" s="73" t="s">
        <v>1017</v>
      </c>
      <c r="M95" s="73" t="s">
        <v>158</v>
      </c>
      <c r="N95" s="52">
        <f t="shared" si="2"/>
        <v>177000</v>
      </c>
      <c r="O95" s="129"/>
      <c r="P95" s="214">
        <f>IF(ISBLANK(A95), "", IF(AND(LOWER(TRIM(J95))=LOWER(TRIM(PANEL!$L$2)), K95=PANEL!$I$2), MAX($P$3:P94)+1, ""))</f>
        <v>1</v>
      </c>
    </row>
    <row r="96" ht="21.75" customHeight="1">
      <c r="A96" s="142" t="s">
        <v>1141</v>
      </c>
      <c r="B96" s="211" t="s">
        <v>364</v>
      </c>
      <c r="C96" s="145" t="s">
        <v>48</v>
      </c>
      <c r="D96" s="143">
        <v>15.0</v>
      </c>
      <c r="E96" s="43">
        <v>850000.0</v>
      </c>
      <c r="F96" s="41">
        <v>0.0</v>
      </c>
      <c r="G96" s="144"/>
      <c r="H96" s="68" t="str">
        <f t="shared" si="1"/>
        <v>🔴 Pendiente</v>
      </c>
      <c r="I96" s="144" t="s">
        <v>1140</v>
      </c>
      <c r="J96" s="68" t="s">
        <v>3</v>
      </c>
      <c r="K96" s="143">
        <v>2026.0</v>
      </c>
      <c r="L96" s="68" t="s">
        <v>1017</v>
      </c>
      <c r="M96" s="68" t="s">
        <v>158</v>
      </c>
      <c r="N96" s="43">
        <f t="shared" si="2"/>
        <v>850000</v>
      </c>
      <c r="O96" s="145"/>
      <c r="P96" s="212">
        <f>IF(ISBLANK(A96), "", IF(AND(LOWER(TRIM(J96))=LOWER(TRIM(PANEL!$L$2)), K96=PANEL!$I$2), MAX($P$3:P95)+1, ""))</f>
        <v>2</v>
      </c>
    </row>
    <row r="97" ht="21.75" customHeight="1">
      <c r="A97" s="127" t="s">
        <v>1142</v>
      </c>
      <c r="B97" s="213" t="s">
        <v>471</v>
      </c>
      <c r="C97" s="129" t="s">
        <v>179</v>
      </c>
      <c r="D97" s="130">
        <v>15.0</v>
      </c>
      <c r="E97" s="52">
        <v>120000.0</v>
      </c>
      <c r="F97" s="49">
        <v>0.0</v>
      </c>
      <c r="G97" s="128"/>
      <c r="H97" s="73" t="str">
        <f t="shared" si="1"/>
        <v>🔴 Pendiente</v>
      </c>
      <c r="I97" s="128" t="s">
        <v>1140</v>
      </c>
      <c r="J97" s="73" t="s">
        <v>3</v>
      </c>
      <c r="K97" s="130">
        <v>2026.0</v>
      </c>
      <c r="L97" s="73" t="s">
        <v>1017</v>
      </c>
      <c r="M97" s="73" t="s">
        <v>158</v>
      </c>
      <c r="N97" s="52">
        <f t="shared" si="2"/>
        <v>120000</v>
      </c>
      <c r="O97" s="129"/>
      <c r="P97" s="214">
        <f>IF(ISBLANK(A97), "", IF(AND(LOWER(TRIM(J97))=LOWER(TRIM(PANEL!$L$2)), K97=PANEL!$I$2), MAX($P$3:P96)+1, ""))</f>
        <v>3</v>
      </c>
    </row>
    <row r="98" ht="21.75" customHeight="1">
      <c r="A98" s="142" t="s">
        <v>1143</v>
      </c>
      <c r="B98" s="211" t="s">
        <v>477</v>
      </c>
      <c r="C98" s="145" t="s">
        <v>258</v>
      </c>
      <c r="D98" s="143">
        <v>15.0</v>
      </c>
      <c r="E98" s="43">
        <v>40000.0</v>
      </c>
      <c r="F98" s="41">
        <v>0.0</v>
      </c>
      <c r="G98" s="144"/>
      <c r="H98" s="68" t="str">
        <f t="shared" si="1"/>
        <v>🔴 Pendiente</v>
      </c>
      <c r="I98" s="144" t="s">
        <v>1140</v>
      </c>
      <c r="J98" s="68" t="s">
        <v>3</v>
      </c>
      <c r="K98" s="143">
        <v>2026.0</v>
      </c>
      <c r="L98" s="68" t="s">
        <v>1017</v>
      </c>
      <c r="M98" s="68" t="s">
        <v>158</v>
      </c>
      <c r="N98" s="43">
        <f t="shared" si="2"/>
        <v>40000</v>
      </c>
      <c r="O98" s="145"/>
      <c r="P98" s="212">
        <f>IF(ISBLANK(A98), "", IF(AND(LOWER(TRIM(J98))=LOWER(TRIM(PANEL!$L$2)), K98=PANEL!$I$2), MAX($P$3:P97)+1, ""))</f>
        <v>4</v>
      </c>
    </row>
    <row r="99" ht="21.75" customHeight="1">
      <c r="A99" s="127" t="s">
        <v>1144</v>
      </c>
      <c r="B99" s="213" t="s">
        <v>1123</v>
      </c>
      <c r="C99" s="129" t="s">
        <v>271</v>
      </c>
      <c r="D99" s="130">
        <v>15.0</v>
      </c>
      <c r="E99" s="52">
        <v>50000.0</v>
      </c>
      <c r="F99" s="49">
        <v>0.0</v>
      </c>
      <c r="G99" s="128"/>
      <c r="H99" s="73" t="str">
        <f t="shared" si="1"/>
        <v>🔴 Pendiente</v>
      </c>
      <c r="I99" s="128" t="s">
        <v>1140</v>
      </c>
      <c r="J99" s="73" t="s">
        <v>3</v>
      </c>
      <c r="K99" s="130">
        <v>2026.0</v>
      </c>
      <c r="L99" s="73" t="s">
        <v>1017</v>
      </c>
      <c r="M99" s="73" t="s">
        <v>158</v>
      </c>
      <c r="N99" s="52">
        <f t="shared" si="2"/>
        <v>50000</v>
      </c>
      <c r="O99" s="129"/>
      <c r="P99" s="214">
        <f>IF(ISBLANK(A99), "", IF(AND(LOWER(TRIM(J99))=LOWER(TRIM(PANEL!$L$2)), K99=PANEL!$I$2), MAX($P$3:P98)+1, ""))</f>
        <v>5</v>
      </c>
    </row>
    <row r="100" ht="21.75" customHeight="1">
      <c r="A100" s="142" t="s">
        <v>1145</v>
      </c>
      <c r="B100" s="211" t="s">
        <v>436</v>
      </c>
      <c r="C100" s="145" t="s">
        <v>155</v>
      </c>
      <c r="D100" s="143">
        <v>15.0</v>
      </c>
      <c r="E100" s="43">
        <v>60000.0</v>
      </c>
      <c r="F100" s="41">
        <v>0.0</v>
      </c>
      <c r="G100" s="144"/>
      <c r="H100" s="68" t="str">
        <f t="shared" si="1"/>
        <v>🔴 Pendiente</v>
      </c>
      <c r="I100" s="144" t="s">
        <v>1140</v>
      </c>
      <c r="J100" s="68" t="s">
        <v>3</v>
      </c>
      <c r="K100" s="143">
        <v>2026.0</v>
      </c>
      <c r="L100" s="68" t="s">
        <v>1017</v>
      </c>
      <c r="M100" s="68" t="s">
        <v>170</v>
      </c>
      <c r="N100" s="43">
        <f t="shared" si="2"/>
        <v>60000</v>
      </c>
      <c r="O100" s="145"/>
      <c r="P100" s="212">
        <f>IF(ISBLANK(A100), "", IF(AND(LOWER(TRIM(J100))=LOWER(TRIM(PANEL!$L$2)), K100=PANEL!$I$2), MAX($P$3:P99)+1, ""))</f>
        <v>6</v>
      </c>
    </row>
    <row r="101" ht="21.75" customHeight="1">
      <c r="A101" s="127" t="s">
        <v>1146</v>
      </c>
      <c r="B101" s="213" t="s">
        <v>411</v>
      </c>
      <c r="C101" s="129" t="s">
        <v>155</v>
      </c>
      <c r="D101" s="130">
        <v>15.0</v>
      </c>
      <c r="E101" s="52">
        <v>35000.0</v>
      </c>
      <c r="F101" s="49">
        <v>0.0</v>
      </c>
      <c r="G101" s="128"/>
      <c r="H101" s="73" t="str">
        <f t="shared" si="1"/>
        <v>🔴 Pendiente</v>
      </c>
      <c r="I101" s="128" t="s">
        <v>1140</v>
      </c>
      <c r="J101" s="73" t="s">
        <v>3</v>
      </c>
      <c r="K101" s="130">
        <v>2026.0</v>
      </c>
      <c r="L101" s="73" t="s">
        <v>1017</v>
      </c>
      <c r="M101" s="73" t="s">
        <v>158</v>
      </c>
      <c r="N101" s="52">
        <f t="shared" si="2"/>
        <v>35000</v>
      </c>
      <c r="O101" s="129"/>
      <c r="P101" s="214">
        <f>IF(ISBLANK(A101), "", IF(AND(LOWER(TRIM(J101))=LOWER(TRIM(PANEL!$L$2)), K101=PANEL!$I$2), MAX($P$3:P100)+1, ""))</f>
        <v>7</v>
      </c>
    </row>
    <row r="102" ht="21.75" customHeight="1">
      <c r="A102" s="142" t="s">
        <v>1147</v>
      </c>
      <c r="B102" s="211" t="s">
        <v>333</v>
      </c>
      <c r="C102" s="145" t="s">
        <v>139</v>
      </c>
      <c r="D102" s="143">
        <v>15.0</v>
      </c>
      <c r="E102" s="215">
        <v>10100.0</v>
      </c>
      <c r="F102" s="216">
        <v>10100.0</v>
      </c>
      <c r="G102" s="217">
        <v>46310.0</v>
      </c>
      <c r="H102" s="68" t="str">
        <f t="shared" si="1"/>
        <v>🟢 Pagado</v>
      </c>
      <c r="I102" s="144" t="s">
        <v>1140</v>
      </c>
      <c r="J102" s="68" t="s">
        <v>3</v>
      </c>
      <c r="K102" s="143">
        <v>2026.0</v>
      </c>
      <c r="L102" s="68" t="s">
        <v>1017</v>
      </c>
      <c r="M102" s="218" t="s">
        <v>142</v>
      </c>
      <c r="N102" s="43">
        <f t="shared" si="2"/>
        <v>0</v>
      </c>
      <c r="O102" s="145" t="s">
        <v>1148</v>
      </c>
      <c r="P102" s="212">
        <f>IF(ISBLANK(A102), "", IF(AND(LOWER(TRIM(J102))=LOWER(TRIM(PANEL!$L$2)), K102=PANEL!$I$2), MAX($P$3:P101)+1, ""))</f>
        <v>8</v>
      </c>
    </row>
    <row r="103" ht="21.75" customHeight="1">
      <c r="A103" s="127" t="s">
        <v>1149</v>
      </c>
      <c r="B103" s="213" t="s">
        <v>400</v>
      </c>
      <c r="C103" s="129" t="s">
        <v>179</v>
      </c>
      <c r="D103" s="130">
        <v>15.0</v>
      </c>
      <c r="E103" s="52">
        <v>43900.0</v>
      </c>
      <c r="F103" s="49">
        <v>43900.0</v>
      </c>
      <c r="G103" s="128">
        <v>46297.0</v>
      </c>
      <c r="H103" s="73" t="str">
        <f t="shared" si="1"/>
        <v>🟢 Pagado</v>
      </c>
      <c r="I103" s="128" t="s">
        <v>1140</v>
      </c>
      <c r="J103" s="73" t="s">
        <v>3</v>
      </c>
      <c r="K103" s="130">
        <v>2026.0</v>
      </c>
      <c r="L103" s="73" t="s">
        <v>1017</v>
      </c>
      <c r="M103" s="73" t="s">
        <v>170</v>
      </c>
      <c r="N103" s="52">
        <f t="shared" si="2"/>
        <v>0</v>
      </c>
      <c r="O103" s="129"/>
      <c r="P103" s="214">
        <f>IF(ISBLANK(A103), "", IF(AND(LOWER(TRIM(J103))=LOWER(TRIM(PANEL!$L$2)), K103=PANEL!$I$2), MAX($P$3:P102)+1, ""))</f>
        <v>9</v>
      </c>
    </row>
    <row r="104" ht="21.75" customHeight="1">
      <c r="A104" s="142" t="s">
        <v>1150</v>
      </c>
      <c r="B104" s="211" t="s">
        <v>50</v>
      </c>
      <c r="C104" s="145" t="s">
        <v>173</v>
      </c>
      <c r="D104" s="143">
        <v>30.0</v>
      </c>
      <c r="E104" s="43">
        <v>900000.0</v>
      </c>
      <c r="F104" s="41">
        <v>0.0</v>
      </c>
      <c r="G104" s="144"/>
      <c r="H104" s="68" t="str">
        <f t="shared" si="1"/>
        <v>🔴 Pendiente</v>
      </c>
      <c r="I104" s="144" t="s">
        <v>1140</v>
      </c>
      <c r="J104" s="68" t="s">
        <v>3</v>
      </c>
      <c r="K104" s="143">
        <v>2026.0</v>
      </c>
      <c r="L104" s="68" t="s">
        <v>1017</v>
      </c>
      <c r="M104" s="68" t="s">
        <v>170</v>
      </c>
      <c r="N104" s="43">
        <f t="shared" si="2"/>
        <v>900000</v>
      </c>
      <c r="O104" s="145"/>
      <c r="P104" s="212">
        <f>IF(ISBLANK(A104), "", IF(AND(LOWER(TRIM(J104))=LOWER(TRIM(PANEL!$L$2)), K104=PANEL!$I$2), MAX($P$3:P103)+1, ""))</f>
        <v>10</v>
      </c>
    </row>
    <row r="105" ht="21.75" customHeight="1">
      <c r="A105" s="127" t="s">
        <v>1151</v>
      </c>
      <c r="B105" s="213" t="s">
        <v>397</v>
      </c>
      <c r="C105" s="129" t="s">
        <v>179</v>
      </c>
      <c r="D105" s="130">
        <v>30.0</v>
      </c>
      <c r="E105" s="52">
        <v>20000.0</v>
      </c>
      <c r="F105" s="49">
        <v>0.0</v>
      </c>
      <c r="G105" s="128"/>
      <c r="H105" s="73" t="str">
        <f t="shared" si="1"/>
        <v>🔴 Pendiente</v>
      </c>
      <c r="I105" s="128" t="s">
        <v>1140</v>
      </c>
      <c r="J105" s="73" t="s">
        <v>3</v>
      </c>
      <c r="K105" s="130">
        <v>2026.0</v>
      </c>
      <c r="L105" s="73" t="s">
        <v>1017</v>
      </c>
      <c r="M105" s="73" t="s">
        <v>170</v>
      </c>
      <c r="N105" s="52">
        <f t="shared" si="2"/>
        <v>20000</v>
      </c>
      <c r="O105" s="129"/>
      <c r="P105" s="214">
        <f>IF(ISBLANK(A105), "", IF(AND(LOWER(TRIM(J105))=LOWER(TRIM(PANEL!$L$2)), K105=PANEL!$I$2), MAX($P$3:P104)+1, ""))</f>
        <v>11</v>
      </c>
    </row>
    <row r="106" ht="21.75" customHeight="1">
      <c r="A106" s="142" t="s">
        <v>1152</v>
      </c>
      <c r="B106" s="211" t="s">
        <v>411</v>
      </c>
      <c r="C106" s="145" t="s">
        <v>155</v>
      </c>
      <c r="D106" s="143">
        <v>30.0</v>
      </c>
      <c r="E106" s="43">
        <v>25000.0</v>
      </c>
      <c r="F106" s="41">
        <v>0.0</v>
      </c>
      <c r="G106" s="144"/>
      <c r="H106" s="68" t="str">
        <f t="shared" si="1"/>
        <v>🔴 Pendiente</v>
      </c>
      <c r="I106" s="144" t="s">
        <v>1140</v>
      </c>
      <c r="J106" s="68" t="s">
        <v>3</v>
      </c>
      <c r="K106" s="143">
        <v>2026.0</v>
      </c>
      <c r="L106" s="68" t="s">
        <v>1017</v>
      </c>
      <c r="M106" s="68" t="s">
        <v>170</v>
      </c>
      <c r="N106" s="43">
        <f t="shared" si="2"/>
        <v>25000</v>
      </c>
      <c r="O106" s="145"/>
      <c r="P106" s="212">
        <f>IF(ISBLANK(A106), "", IF(AND(LOWER(TRIM(J106))=LOWER(TRIM(PANEL!$L$2)), K106=PANEL!$I$2), MAX($P$3:P105)+1, ""))</f>
        <v>12</v>
      </c>
    </row>
    <row r="107" ht="21.75" customHeight="1">
      <c r="A107" s="127" t="s">
        <v>1153</v>
      </c>
      <c r="B107" s="213" t="s">
        <v>477</v>
      </c>
      <c r="C107" s="129" t="s">
        <v>258</v>
      </c>
      <c r="D107" s="130">
        <v>30.0</v>
      </c>
      <c r="E107" s="52">
        <v>40000.0</v>
      </c>
      <c r="F107" s="49">
        <v>0.0</v>
      </c>
      <c r="G107" s="128"/>
      <c r="H107" s="73" t="str">
        <f t="shared" si="1"/>
        <v>🔴 Pendiente</v>
      </c>
      <c r="I107" s="128" t="s">
        <v>1140</v>
      </c>
      <c r="J107" s="73" t="s">
        <v>3</v>
      </c>
      <c r="K107" s="130">
        <v>2026.0</v>
      </c>
      <c r="L107" s="73" t="s">
        <v>1017</v>
      </c>
      <c r="M107" s="73" t="s">
        <v>170</v>
      </c>
      <c r="N107" s="52">
        <f t="shared" si="2"/>
        <v>40000</v>
      </c>
      <c r="O107" s="129"/>
      <c r="P107" s="214">
        <f>IF(ISBLANK(A107), "", IF(AND(LOWER(TRIM(J107))=LOWER(TRIM(PANEL!$L$2)), K107=PANEL!$I$2), MAX($P$3:P106)+1, ""))</f>
        <v>13</v>
      </c>
    </row>
    <row r="108" ht="21.75" customHeight="1">
      <c r="A108" s="142" t="s">
        <v>1154</v>
      </c>
      <c r="B108" s="211" t="s">
        <v>364</v>
      </c>
      <c r="C108" s="145" t="s">
        <v>48</v>
      </c>
      <c r="D108" s="143">
        <v>30.0</v>
      </c>
      <c r="E108" s="43">
        <v>200000.0</v>
      </c>
      <c r="F108" s="41">
        <v>0.0</v>
      </c>
      <c r="G108" s="144"/>
      <c r="H108" s="68" t="str">
        <f t="shared" si="1"/>
        <v>🔴 Pendiente</v>
      </c>
      <c r="I108" s="144" t="s">
        <v>1140</v>
      </c>
      <c r="J108" s="68" t="s">
        <v>3</v>
      </c>
      <c r="K108" s="143">
        <v>2026.0</v>
      </c>
      <c r="L108" s="68" t="s">
        <v>1017</v>
      </c>
      <c r="M108" s="68" t="s">
        <v>170</v>
      </c>
      <c r="N108" s="43">
        <f t="shared" si="2"/>
        <v>200000</v>
      </c>
      <c r="O108" s="145"/>
      <c r="P108" s="212">
        <f>IF(ISBLANK(A108), "", IF(AND(LOWER(TRIM(J108))=LOWER(TRIM(PANEL!$L$2)), K108=PANEL!$I$2), MAX($P$3:P107)+1, ""))</f>
        <v>14</v>
      </c>
    </row>
    <row r="109" ht="21.75" customHeight="1">
      <c r="A109" s="127" t="s">
        <v>1155</v>
      </c>
      <c r="B109" s="213" t="s">
        <v>436</v>
      </c>
      <c r="C109" s="129" t="s">
        <v>155</v>
      </c>
      <c r="D109" s="130">
        <v>30.0</v>
      </c>
      <c r="E109" s="52">
        <v>40000.0</v>
      </c>
      <c r="F109" s="49">
        <v>0.0</v>
      </c>
      <c r="G109" s="128"/>
      <c r="H109" s="73" t="str">
        <f t="shared" si="1"/>
        <v>🔴 Pendiente</v>
      </c>
      <c r="I109" s="128" t="s">
        <v>1140</v>
      </c>
      <c r="J109" s="73" t="s">
        <v>3</v>
      </c>
      <c r="K109" s="130">
        <v>2026.0</v>
      </c>
      <c r="L109" s="73" t="s">
        <v>1017</v>
      </c>
      <c r="M109" s="73" t="s">
        <v>170</v>
      </c>
      <c r="N109" s="52">
        <f t="shared" si="2"/>
        <v>40000</v>
      </c>
      <c r="O109" s="129"/>
      <c r="P109" s="214">
        <f>IF(ISBLANK(A109), "", IF(AND(LOWER(TRIM(J109))=LOWER(TRIM(PANEL!$L$2)), K109=PANEL!$I$2), MAX($P$3:P108)+1, ""))</f>
        <v>15</v>
      </c>
    </row>
    <row r="110" ht="21.75" customHeight="1">
      <c r="A110" s="142" t="s">
        <v>1156</v>
      </c>
      <c r="B110" s="211" t="s">
        <v>1100</v>
      </c>
      <c r="C110" s="145" t="s">
        <v>179</v>
      </c>
      <c r="D110" s="143">
        <v>15.0</v>
      </c>
      <c r="E110" s="43">
        <v>177000.0</v>
      </c>
      <c r="F110" s="41">
        <v>0.0</v>
      </c>
      <c r="G110" s="144"/>
      <c r="H110" s="68" t="str">
        <f t="shared" si="1"/>
        <v>🔴 Pendiente</v>
      </c>
      <c r="I110" s="144" t="s">
        <v>1157</v>
      </c>
      <c r="J110" s="68" t="s">
        <v>1158</v>
      </c>
      <c r="K110" s="143">
        <v>2026.0</v>
      </c>
      <c r="L110" s="68" t="s">
        <v>1017</v>
      </c>
      <c r="M110" s="68" t="s">
        <v>158</v>
      </c>
      <c r="N110" s="43">
        <f t="shared" si="2"/>
        <v>177000</v>
      </c>
      <c r="O110" s="145"/>
      <c r="P110" s="212" t="str">
        <f>IF(ISBLANK(A110), "", IF(AND(LOWER(TRIM(J110))=LOWER(TRIM(PANEL!$L$2)), K110=PANEL!$I$2), MAX($P$3:P109)+1, ""))</f>
        <v/>
      </c>
    </row>
    <row r="111" ht="21.75" customHeight="1">
      <c r="A111" s="127" t="s">
        <v>1159</v>
      </c>
      <c r="B111" s="213" t="s">
        <v>364</v>
      </c>
      <c r="C111" s="129" t="s">
        <v>48</v>
      </c>
      <c r="D111" s="130">
        <v>15.0</v>
      </c>
      <c r="E111" s="52">
        <v>850000.0</v>
      </c>
      <c r="F111" s="49">
        <v>0.0</v>
      </c>
      <c r="G111" s="128"/>
      <c r="H111" s="73" t="str">
        <f t="shared" si="1"/>
        <v>🔴 Pendiente</v>
      </c>
      <c r="I111" s="128" t="s">
        <v>1157</v>
      </c>
      <c r="J111" s="73" t="s">
        <v>1158</v>
      </c>
      <c r="K111" s="130">
        <v>2026.0</v>
      </c>
      <c r="L111" s="73" t="s">
        <v>1017</v>
      </c>
      <c r="M111" s="73" t="s">
        <v>158</v>
      </c>
      <c r="N111" s="52">
        <f t="shared" si="2"/>
        <v>850000</v>
      </c>
      <c r="O111" s="129"/>
      <c r="P111" s="214" t="str">
        <f>IF(ISBLANK(A111), "", IF(AND(LOWER(TRIM(J111))=LOWER(TRIM(PANEL!$L$2)), K111=PANEL!$I$2), MAX($P$3:P110)+1, ""))</f>
        <v/>
      </c>
    </row>
    <row r="112" ht="21.75" customHeight="1">
      <c r="A112" s="142" t="s">
        <v>1160</v>
      </c>
      <c r="B112" s="211" t="s">
        <v>471</v>
      </c>
      <c r="C112" s="145" t="s">
        <v>179</v>
      </c>
      <c r="D112" s="143">
        <v>15.0</v>
      </c>
      <c r="E112" s="43">
        <v>120000.0</v>
      </c>
      <c r="F112" s="41">
        <v>0.0</v>
      </c>
      <c r="G112" s="144"/>
      <c r="H112" s="68" t="str">
        <f t="shared" si="1"/>
        <v>🔴 Pendiente</v>
      </c>
      <c r="I112" s="144" t="s">
        <v>1157</v>
      </c>
      <c r="J112" s="68" t="s">
        <v>1158</v>
      </c>
      <c r="K112" s="143">
        <v>2026.0</v>
      </c>
      <c r="L112" s="68" t="s">
        <v>1017</v>
      </c>
      <c r="M112" s="68" t="s">
        <v>158</v>
      </c>
      <c r="N112" s="43">
        <f t="shared" si="2"/>
        <v>120000</v>
      </c>
      <c r="O112" s="145"/>
      <c r="P112" s="212" t="str">
        <f>IF(ISBLANK(A112), "", IF(AND(LOWER(TRIM(J112))=LOWER(TRIM(PANEL!$L$2)), K112=PANEL!$I$2), MAX($P$3:P111)+1, ""))</f>
        <v/>
      </c>
    </row>
    <row r="113" ht="21.75" customHeight="1">
      <c r="A113" s="127" t="s">
        <v>1161</v>
      </c>
      <c r="B113" s="213" t="s">
        <v>477</v>
      </c>
      <c r="C113" s="129" t="s">
        <v>258</v>
      </c>
      <c r="D113" s="130">
        <v>15.0</v>
      </c>
      <c r="E113" s="52">
        <v>40000.0</v>
      </c>
      <c r="F113" s="49">
        <v>0.0</v>
      </c>
      <c r="G113" s="128"/>
      <c r="H113" s="73" t="str">
        <f t="shared" si="1"/>
        <v>🔴 Pendiente</v>
      </c>
      <c r="I113" s="128" t="s">
        <v>1157</v>
      </c>
      <c r="J113" s="73" t="s">
        <v>1158</v>
      </c>
      <c r="K113" s="130">
        <v>2026.0</v>
      </c>
      <c r="L113" s="73" t="s">
        <v>1017</v>
      </c>
      <c r="M113" s="73" t="s">
        <v>158</v>
      </c>
      <c r="N113" s="52">
        <f t="shared" si="2"/>
        <v>40000</v>
      </c>
      <c r="O113" s="129"/>
      <c r="P113" s="214" t="str">
        <f>IF(ISBLANK(A113), "", IF(AND(LOWER(TRIM(J113))=LOWER(TRIM(PANEL!$L$2)), K113=PANEL!$I$2), MAX($P$3:P112)+1, ""))</f>
        <v/>
      </c>
    </row>
    <row r="114" ht="21.75" customHeight="1">
      <c r="A114" s="142" t="s">
        <v>1162</v>
      </c>
      <c r="B114" s="211" t="s">
        <v>1123</v>
      </c>
      <c r="C114" s="145" t="s">
        <v>271</v>
      </c>
      <c r="D114" s="143">
        <v>15.0</v>
      </c>
      <c r="E114" s="43">
        <v>50000.0</v>
      </c>
      <c r="F114" s="41">
        <v>0.0</v>
      </c>
      <c r="G114" s="144"/>
      <c r="H114" s="68" t="str">
        <f t="shared" si="1"/>
        <v>🔴 Pendiente</v>
      </c>
      <c r="I114" s="144" t="s">
        <v>1157</v>
      </c>
      <c r="J114" s="68" t="s">
        <v>1158</v>
      </c>
      <c r="K114" s="143">
        <v>2026.0</v>
      </c>
      <c r="L114" s="68" t="s">
        <v>1017</v>
      </c>
      <c r="M114" s="68" t="s">
        <v>158</v>
      </c>
      <c r="N114" s="43">
        <f t="shared" si="2"/>
        <v>50000</v>
      </c>
      <c r="O114" s="145"/>
      <c r="P114" s="212" t="str">
        <f>IF(ISBLANK(A114), "", IF(AND(LOWER(TRIM(J114))=LOWER(TRIM(PANEL!$L$2)), K114=PANEL!$I$2), MAX($P$3:P113)+1, ""))</f>
        <v/>
      </c>
    </row>
    <row r="115" ht="21.75" customHeight="1">
      <c r="A115" s="127" t="s">
        <v>1163</v>
      </c>
      <c r="B115" s="213" t="s">
        <v>436</v>
      </c>
      <c r="C115" s="129" t="s">
        <v>155</v>
      </c>
      <c r="D115" s="130">
        <v>15.0</v>
      </c>
      <c r="E115" s="52">
        <v>60000.0</v>
      </c>
      <c r="F115" s="49">
        <v>0.0</v>
      </c>
      <c r="G115" s="128"/>
      <c r="H115" s="73" t="str">
        <f t="shared" si="1"/>
        <v>🔴 Pendiente</v>
      </c>
      <c r="I115" s="128" t="s">
        <v>1157</v>
      </c>
      <c r="J115" s="73" t="s">
        <v>1158</v>
      </c>
      <c r="K115" s="130">
        <v>2026.0</v>
      </c>
      <c r="L115" s="73" t="s">
        <v>1017</v>
      </c>
      <c r="M115" s="73" t="s">
        <v>170</v>
      </c>
      <c r="N115" s="52">
        <f t="shared" si="2"/>
        <v>60000</v>
      </c>
      <c r="O115" s="129"/>
      <c r="P115" s="214" t="str">
        <f>IF(ISBLANK(A115), "", IF(AND(LOWER(TRIM(J115))=LOWER(TRIM(PANEL!$L$2)), K115=PANEL!$I$2), MAX($P$3:P114)+1, ""))</f>
        <v/>
      </c>
    </row>
    <row r="116" ht="21.75" customHeight="1">
      <c r="A116" s="142" t="s">
        <v>1164</v>
      </c>
      <c r="B116" s="211" t="s">
        <v>411</v>
      </c>
      <c r="C116" s="145" t="s">
        <v>155</v>
      </c>
      <c r="D116" s="143">
        <v>15.0</v>
      </c>
      <c r="E116" s="43">
        <v>35000.0</v>
      </c>
      <c r="F116" s="41">
        <v>0.0</v>
      </c>
      <c r="G116" s="144"/>
      <c r="H116" s="68" t="str">
        <f t="shared" si="1"/>
        <v>🔴 Pendiente</v>
      </c>
      <c r="I116" s="144" t="s">
        <v>1157</v>
      </c>
      <c r="J116" s="68" t="s">
        <v>1158</v>
      </c>
      <c r="K116" s="143">
        <v>2026.0</v>
      </c>
      <c r="L116" s="68" t="s">
        <v>1017</v>
      </c>
      <c r="M116" s="68" t="s">
        <v>158</v>
      </c>
      <c r="N116" s="43">
        <f t="shared" si="2"/>
        <v>35000</v>
      </c>
      <c r="O116" s="145"/>
      <c r="P116" s="212" t="str">
        <f>IF(ISBLANK(A116), "", IF(AND(LOWER(TRIM(J116))=LOWER(TRIM(PANEL!$L$2)), K116=PANEL!$I$2), MAX($P$3:P115)+1, ""))</f>
        <v/>
      </c>
    </row>
    <row r="117" ht="21.75" customHeight="1">
      <c r="A117" s="127" t="s">
        <v>1165</v>
      </c>
      <c r="B117" s="213" t="s">
        <v>333</v>
      </c>
      <c r="C117" s="129" t="s">
        <v>139</v>
      </c>
      <c r="D117" s="130">
        <v>15.0</v>
      </c>
      <c r="E117" s="52">
        <v>10000.0</v>
      </c>
      <c r="F117" s="49">
        <v>0.0</v>
      </c>
      <c r="G117" s="128"/>
      <c r="H117" s="73" t="str">
        <f t="shared" si="1"/>
        <v>🔴 Pendiente</v>
      </c>
      <c r="I117" s="128" t="s">
        <v>1157</v>
      </c>
      <c r="J117" s="73" t="s">
        <v>1158</v>
      </c>
      <c r="K117" s="130">
        <v>2026.0</v>
      </c>
      <c r="L117" s="73" t="s">
        <v>1017</v>
      </c>
      <c r="M117" s="73" t="s">
        <v>158</v>
      </c>
      <c r="N117" s="52">
        <f t="shared" si="2"/>
        <v>10000</v>
      </c>
      <c r="O117" s="129"/>
      <c r="P117" s="214" t="str">
        <f>IF(ISBLANK(A117), "", IF(AND(LOWER(TRIM(J117))=LOWER(TRIM(PANEL!$L$2)), K117=PANEL!$I$2), MAX($P$3:P116)+1, ""))</f>
        <v/>
      </c>
    </row>
    <row r="118" ht="21.75" customHeight="1">
      <c r="A118" s="142" t="s">
        <v>1166</v>
      </c>
      <c r="B118" s="211" t="s">
        <v>400</v>
      </c>
      <c r="C118" s="145" t="s">
        <v>179</v>
      </c>
      <c r="D118" s="143">
        <v>15.0</v>
      </c>
      <c r="E118" s="43">
        <v>39000.0</v>
      </c>
      <c r="F118" s="41">
        <v>0.0</v>
      </c>
      <c r="G118" s="144"/>
      <c r="H118" s="68" t="str">
        <f t="shared" si="1"/>
        <v>🔴 Pendiente</v>
      </c>
      <c r="I118" s="144" t="s">
        <v>1157</v>
      </c>
      <c r="J118" s="68" t="s">
        <v>1158</v>
      </c>
      <c r="K118" s="143">
        <v>2026.0</v>
      </c>
      <c r="L118" s="68" t="s">
        <v>1017</v>
      </c>
      <c r="M118" s="68" t="s">
        <v>170</v>
      </c>
      <c r="N118" s="43">
        <f t="shared" si="2"/>
        <v>39000</v>
      </c>
      <c r="O118" s="145"/>
      <c r="P118" s="212" t="str">
        <f>IF(ISBLANK(A118), "", IF(AND(LOWER(TRIM(J118))=LOWER(TRIM(PANEL!$L$2)), K118=PANEL!$I$2), MAX($P$3:P117)+1, ""))</f>
        <v/>
      </c>
    </row>
    <row r="119" ht="21.75" customHeight="1">
      <c r="A119" s="127" t="s">
        <v>1167</v>
      </c>
      <c r="B119" s="213" t="s">
        <v>50</v>
      </c>
      <c r="C119" s="129" t="s">
        <v>173</v>
      </c>
      <c r="D119" s="130">
        <v>30.0</v>
      </c>
      <c r="E119" s="52">
        <v>900000.0</v>
      </c>
      <c r="F119" s="49">
        <v>0.0</v>
      </c>
      <c r="G119" s="128"/>
      <c r="H119" s="73" t="str">
        <f t="shared" si="1"/>
        <v>🔴 Pendiente</v>
      </c>
      <c r="I119" s="128" t="s">
        <v>1157</v>
      </c>
      <c r="J119" s="73" t="s">
        <v>1158</v>
      </c>
      <c r="K119" s="130">
        <v>2026.0</v>
      </c>
      <c r="L119" s="73" t="s">
        <v>1017</v>
      </c>
      <c r="M119" s="73" t="s">
        <v>170</v>
      </c>
      <c r="N119" s="52">
        <f t="shared" si="2"/>
        <v>900000</v>
      </c>
      <c r="O119" s="129"/>
      <c r="P119" s="214" t="str">
        <f>IF(ISBLANK(A119), "", IF(AND(LOWER(TRIM(J119))=LOWER(TRIM(PANEL!$L$2)), K119=PANEL!$I$2), MAX($P$3:P118)+1, ""))</f>
        <v/>
      </c>
    </row>
    <row r="120" ht="21.75" customHeight="1">
      <c r="A120" s="142" t="s">
        <v>1168</v>
      </c>
      <c r="B120" s="211" t="s">
        <v>397</v>
      </c>
      <c r="C120" s="145" t="s">
        <v>179</v>
      </c>
      <c r="D120" s="143">
        <v>30.0</v>
      </c>
      <c r="E120" s="43">
        <v>20000.0</v>
      </c>
      <c r="F120" s="41">
        <v>0.0</v>
      </c>
      <c r="G120" s="144"/>
      <c r="H120" s="68" t="str">
        <f t="shared" si="1"/>
        <v>🔴 Pendiente</v>
      </c>
      <c r="I120" s="144" t="s">
        <v>1157</v>
      </c>
      <c r="J120" s="68" t="s">
        <v>1158</v>
      </c>
      <c r="K120" s="143">
        <v>2026.0</v>
      </c>
      <c r="L120" s="68" t="s">
        <v>1017</v>
      </c>
      <c r="M120" s="68" t="s">
        <v>170</v>
      </c>
      <c r="N120" s="43">
        <f t="shared" si="2"/>
        <v>20000</v>
      </c>
      <c r="O120" s="145"/>
      <c r="P120" s="212" t="str">
        <f>IF(ISBLANK(A120), "", IF(AND(LOWER(TRIM(J120))=LOWER(TRIM(PANEL!$L$2)), K120=PANEL!$I$2), MAX($P$3:P119)+1, ""))</f>
        <v/>
      </c>
    </row>
    <row r="121" ht="21.75" customHeight="1">
      <c r="A121" s="127" t="s">
        <v>1169</v>
      </c>
      <c r="B121" s="213" t="s">
        <v>411</v>
      </c>
      <c r="C121" s="129" t="s">
        <v>155</v>
      </c>
      <c r="D121" s="130">
        <v>30.0</v>
      </c>
      <c r="E121" s="52">
        <v>25000.0</v>
      </c>
      <c r="F121" s="49">
        <v>0.0</v>
      </c>
      <c r="G121" s="128"/>
      <c r="H121" s="73" t="str">
        <f t="shared" si="1"/>
        <v>🔴 Pendiente</v>
      </c>
      <c r="I121" s="128" t="s">
        <v>1157</v>
      </c>
      <c r="J121" s="73" t="s">
        <v>1158</v>
      </c>
      <c r="K121" s="130">
        <v>2026.0</v>
      </c>
      <c r="L121" s="73" t="s">
        <v>1017</v>
      </c>
      <c r="M121" s="73" t="s">
        <v>170</v>
      </c>
      <c r="N121" s="52">
        <f t="shared" si="2"/>
        <v>25000</v>
      </c>
      <c r="O121" s="129"/>
      <c r="P121" s="214" t="str">
        <f>IF(ISBLANK(A121), "", IF(AND(LOWER(TRIM(J121))=LOWER(TRIM(PANEL!$L$2)), K121=PANEL!$I$2), MAX($P$3:P120)+1, ""))</f>
        <v/>
      </c>
    </row>
    <row r="122" ht="21.75" customHeight="1">
      <c r="A122" s="142" t="s">
        <v>1170</v>
      </c>
      <c r="B122" s="211" t="s">
        <v>477</v>
      </c>
      <c r="C122" s="145" t="s">
        <v>258</v>
      </c>
      <c r="D122" s="143">
        <v>30.0</v>
      </c>
      <c r="E122" s="43">
        <v>40000.0</v>
      </c>
      <c r="F122" s="41">
        <v>0.0</v>
      </c>
      <c r="G122" s="144"/>
      <c r="H122" s="68" t="str">
        <f t="shared" si="1"/>
        <v>🔴 Pendiente</v>
      </c>
      <c r="I122" s="144" t="s">
        <v>1157</v>
      </c>
      <c r="J122" s="68" t="s">
        <v>1158</v>
      </c>
      <c r="K122" s="143">
        <v>2026.0</v>
      </c>
      <c r="L122" s="68" t="s">
        <v>1017</v>
      </c>
      <c r="M122" s="68" t="s">
        <v>170</v>
      </c>
      <c r="N122" s="43">
        <f t="shared" si="2"/>
        <v>40000</v>
      </c>
      <c r="O122" s="145"/>
      <c r="P122" s="212" t="str">
        <f>IF(ISBLANK(A122), "", IF(AND(LOWER(TRIM(J122))=LOWER(TRIM(PANEL!$L$2)), K122=PANEL!$I$2), MAX($P$3:P121)+1, ""))</f>
        <v/>
      </c>
    </row>
    <row r="123" ht="21.75" customHeight="1">
      <c r="A123" s="127" t="s">
        <v>1171</v>
      </c>
      <c r="B123" s="213" t="s">
        <v>364</v>
      </c>
      <c r="C123" s="129" t="s">
        <v>48</v>
      </c>
      <c r="D123" s="130">
        <v>30.0</v>
      </c>
      <c r="E123" s="52">
        <v>200000.0</v>
      </c>
      <c r="F123" s="49">
        <v>0.0</v>
      </c>
      <c r="G123" s="128"/>
      <c r="H123" s="73" t="str">
        <f t="shared" si="1"/>
        <v>🔴 Pendiente</v>
      </c>
      <c r="I123" s="128" t="s">
        <v>1157</v>
      </c>
      <c r="J123" s="73" t="s">
        <v>1158</v>
      </c>
      <c r="K123" s="130">
        <v>2026.0</v>
      </c>
      <c r="L123" s="73" t="s">
        <v>1017</v>
      </c>
      <c r="M123" s="73" t="s">
        <v>170</v>
      </c>
      <c r="N123" s="52">
        <f t="shared" si="2"/>
        <v>200000</v>
      </c>
      <c r="O123" s="129"/>
      <c r="P123" s="214" t="str">
        <f>IF(ISBLANK(A123), "", IF(AND(LOWER(TRIM(J123))=LOWER(TRIM(PANEL!$L$2)), K123=PANEL!$I$2), MAX($P$3:P122)+1, ""))</f>
        <v/>
      </c>
    </row>
    <row r="124" ht="21.75" customHeight="1">
      <c r="A124" s="142" t="s">
        <v>1172</v>
      </c>
      <c r="B124" s="211" t="s">
        <v>436</v>
      </c>
      <c r="C124" s="145" t="s">
        <v>155</v>
      </c>
      <c r="D124" s="143">
        <v>30.0</v>
      </c>
      <c r="E124" s="43">
        <v>40000.0</v>
      </c>
      <c r="F124" s="41">
        <v>0.0</v>
      </c>
      <c r="G124" s="144"/>
      <c r="H124" s="68" t="str">
        <f t="shared" si="1"/>
        <v>🔴 Pendiente</v>
      </c>
      <c r="I124" s="144" t="s">
        <v>1157</v>
      </c>
      <c r="J124" s="68" t="s">
        <v>1158</v>
      </c>
      <c r="K124" s="143">
        <v>2026.0</v>
      </c>
      <c r="L124" s="68" t="s">
        <v>1017</v>
      </c>
      <c r="M124" s="68" t="s">
        <v>170</v>
      </c>
      <c r="N124" s="43">
        <f t="shared" si="2"/>
        <v>40000</v>
      </c>
      <c r="O124" s="145"/>
      <c r="P124" s="212" t="str">
        <f>IF(ISBLANK(A124), "", IF(AND(LOWER(TRIM(J124))=LOWER(TRIM(PANEL!$L$2)), K124=PANEL!$I$2), MAX($P$3:P123)+1, ""))</f>
        <v/>
      </c>
    </row>
    <row r="125" ht="21.75" customHeight="1">
      <c r="A125" s="127" t="s">
        <v>1173</v>
      </c>
      <c r="B125" s="213" t="s">
        <v>1100</v>
      </c>
      <c r="C125" s="129" t="s">
        <v>179</v>
      </c>
      <c r="D125" s="130">
        <v>15.0</v>
      </c>
      <c r="E125" s="52">
        <v>177000.0</v>
      </c>
      <c r="F125" s="49">
        <v>0.0</v>
      </c>
      <c r="G125" s="128"/>
      <c r="H125" s="73" t="str">
        <f t="shared" si="1"/>
        <v>🔴 Pendiente</v>
      </c>
      <c r="I125" s="128" t="s">
        <v>1174</v>
      </c>
      <c r="J125" s="73" t="s">
        <v>1175</v>
      </c>
      <c r="K125" s="130">
        <v>2026.0</v>
      </c>
      <c r="L125" s="73" t="s">
        <v>1017</v>
      </c>
      <c r="M125" s="73" t="s">
        <v>158</v>
      </c>
      <c r="N125" s="52">
        <f t="shared" si="2"/>
        <v>177000</v>
      </c>
      <c r="O125" s="129"/>
      <c r="P125" s="214" t="str">
        <f>IF(ISBLANK(A125), "", IF(AND(LOWER(TRIM(J125))=LOWER(TRIM(PANEL!$L$2)), K125=PANEL!$I$2), MAX($P$3:P124)+1, ""))</f>
        <v/>
      </c>
    </row>
    <row r="126" ht="21.75" customHeight="1">
      <c r="A126" s="142" t="s">
        <v>1176</v>
      </c>
      <c r="B126" s="211" t="s">
        <v>364</v>
      </c>
      <c r="C126" s="145" t="s">
        <v>48</v>
      </c>
      <c r="D126" s="143">
        <v>15.0</v>
      </c>
      <c r="E126" s="43">
        <v>850000.0</v>
      </c>
      <c r="F126" s="41">
        <v>0.0</v>
      </c>
      <c r="G126" s="144"/>
      <c r="H126" s="68" t="str">
        <f t="shared" si="1"/>
        <v>🔴 Pendiente</v>
      </c>
      <c r="I126" s="144" t="s">
        <v>1174</v>
      </c>
      <c r="J126" s="68" t="s">
        <v>1175</v>
      </c>
      <c r="K126" s="143">
        <v>2026.0</v>
      </c>
      <c r="L126" s="68" t="s">
        <v>1017</v>
      </c>
      <c r="M126" s="68" t="s">
        <v>158</v>
      </c>
      <c r="N126" s="43">
        <f t="shared" si="2"/>
        <v>850000</v>
      </c>
      <c r="O126" s="145"/>
      <c r="P126" s="212" t="str">
        <f>IF(ISBLANK(A126), "", IF(AND(LOWER(TRIM(J126))=LOWER(TRIM(PANEL!$L$2)), K126=PANEL!$I$2), MAX($P$3:P125)+1, ""))</f>
        <v/>
      </c>
    </row>
    <row r="127" ht="21.75" customHeight="1">
      <c r="A127" s="127" t="s">
        <v>1177</v>
      </c>
      <c r="B127" s="213" t="s">
        <v>471</v>
      </c>
      <c r="C127" s="129" t="s">
        <v>179</v>
      </c>
      <c r="D127" s="130">
        <v>15.0</v>
      </c>
      <c r="E127" s="52">
        <v>120000.0</v>
      </c>
      <c r="F127" s="49">
        <v>0.0</v>
      </c>
      <c r="G127" s="128"/>
      <c r="H127" s="73" t="str">
        <f t="shared" si="1"/>
        <v>🔴 Pendiente</v>
      </c>
      <c r="I127" s="128" t="s">
        <v>1174</v>
      </c>
      <c r="J127" s="73" t="s">
        <v>1175</v>
      </c>
      <c r="K127" s="130">
        <v>2026.0</v>
      </c>
      <c r="L127" s="73" t="s">
        <v>1017</v>
      </c>
      <c r="M127" s="73" t="s">
        <v>158</v>
      </c>
      <c r="N127" s="52">
        <f t="shared" si="2"/>
        <v>120000</v>
      </c>
      <c r="O127" s="129"/>
      <c r="P127" s="214" t="str">
        <f>IF(ISBLANK(A127), "", IF(AND(LOWER(TRIM(J127))=LOWER(TRIM(PANEL!$L$2)), K127=PANEL!$I$2), MAX($P$3:P126)+1, ""))</f>
        <v/>
      </c>
    </row>
    <row r="128" ht="21.75" customHeight="1">
      <c r="A128" s="142" t="s">
        <v>1178</v>
      </c>
      <c r="B128" s="211" t="s">
        <v>477</v>
      </c>
      <c r="C128" s="145" t="s">
        <v>258</v>
      </c>
      <c r="D128" s="143">
        <v>15.0</v>
      </c>
      <c r="E128" s="43">
        <v>40000.0</v>
      </c>
      <c r="F128" s="41">
        <v>0.0</v>
      </c>
      <c r="G128" s="144"/>
      <c r="H128" s="68" t="str">
        <f t="shared" si="1"/>
        <v>🔴 Pendiente</v>
      </c>
      <c r="I128" s="144" t="s">
        <v>1174</v>
      </c>
      <c r="J128" s="68" t="s">
        <v>1175</v>
      </c>
      <c r="K128" s="143">
        <v>2026.0</v>
      </c>
      <c r="L128" s="68" t="s">
        <v>1017</v>
      </c>
      <c r="M128" s="68" t="s">
        <v>158</v>
      </c>
      <c r="N128" s="43">
        <f t="shared" si="2"/>
        <v>40000</v>
      </c>
      <c r="O128" s="145"/>
      <c r="P128" s="212" t="str">
        <f>IF(ISBLANK(A128), "", IF(AND(LOWER(TRIM(J128))=LOWER(TRIM(PANEL!$L$2)), K128=PANEL!$I$2), MAX($P$3:P127)+1, ""))</f>
        <v/>
      </c>
    </row>
    <row r="129" ht="21.75" customHeight="1">
      <c r="A129" s="127" t="s">
        <v>1179</v>
      </c>
      <c r="B129" s="213" t="s">
        <v>1123</v>
      </c>
      <c r="C129" s="129" t="s">
        <v>271</v>
      </c>
      <c r="D129" s="130">
        <v>15.0</v>
      </c>
      <c r="E129" s="52">
        <v>50000.0</v>
      </c>
      <c r="F129" s="49">
        <v>0.0</v>
      </c>
      <c r="G129" s="128"/>
      <c r="H129" s="73" t="str">
        <f t="shared" si="1"/>
        <v>🔴 Pendiente</v>
      </c>
      <c r="I129" s="128" t="s">
        <v>1174</v>
      </c>
      <c r="J129" s="73" t="s">
        <v>1175</v>
      </c>
      <c r="K129" s="130">
        <v>2026.0</v>
      </c>
      <c r="L129" s="73" t="s">
        <v>1017</v>
      </c>
      <c r="M129" s="73" t="s">
        <v>158</v>
      </c>
      <c r="N129" s="52">
        <f t="shared" si="2"/>
        <v>50000</v>
      </c>
      <c r="O129" s="129"/>
      <c r="P129" s="214" t="str">
        <f>IF(ISBLANK(A129), "", IF(AND(LOWER(TRIM(J129))=LOWER(TRIM(PANEL!$L$2)), K129=PANEL!$I$2), MAX($P$3:P128)+1, ""))</f>
        <v/>
      </c>
    </row>
    <row r="130" ht="21.75" customHeight="1">
      <c r="A130" s="142" t="s">
        <v>1180</v>
      </c>
      <c r="B130" s="211" t="s">
        <v>436</v>
      </c>
      <c r="C130" s="145" t="s">
        <v>155</v>
      </c>
      <c r="D130" s="143">
        <v>15.0</v>
      </c>
      <c r="E130" s="43">
        <v>60000.0</v>
      </c>
      <c r="F130" s="41">
        <v>0.0</v>
      </c>
      <c r="G130" s="144"/>
      <c r="H130" s="68" t="str">
        <f t="shared" si="1"/>
        <v>🔴 Pendiente</v>
      </c>
      <c r="I130" s="144" t="s">
        <v>1174</v>
      </c>
      <c r="J130" s="68" t="s">
        <v>1175</v>
      </c>
      <c r="K130" s="143">
        <v>2026.0</v>
      </c>
      <c r="L130" s="68" t="s">
        <v>1017</v>
      </c>
      <c r="M130" s="68" t="s">
        <v>170</v>
      </c>
      <c r="N130" s="43">
        <f t="shared" si="2"/>
        <v>60000</v>
      </c>
      <c r="O130" s="145"/>
      <c r="P130" s="212" t="str">
        <f>IF(ISBLANK(A130), "", IF(AND(LOWER(TRIM(J130))=LOWER(TRIM(PANEL!$L$2)), K130=PANEL!$I$2), MAX($P$3:P129)+1, ""))</f>
        <v/>
      </c>
    </row>
    <row r="131" ht="21.75" customHeight="1">
      <c r="A131" s="127" t="s">
        <v>1181</v>
      </c>
      <c r="B131" s="213" t="s">
        <v>411</v>
      </c>
      <c r="C131" s="129" t="s">
        <v>155</v>
      </c>
      <c r="D131" s="130">
        <v>15.0</v>
      </c>
      <c r="E131" s="52">
        <v>35000.0</v>
      </c>
      <c r="F131" s="49">
        <v>0.0</v>
      </c>
      <c r="G131" s="128"/>
      <c r="H131" s="73" t="str">
        <f t="shared" si="1"/>
        <v>🔴 Pendiente</v>
      </c>
      <c r="I131" s="128" t="s">
        <v>1174</v>
      </c>
      <c r="J131" s="73" t="s">
        <v>1175</v>
      </c>
      <c r="K131" s="130">
        <v>2026.0</v>
      </c>
      <c r="L131" s="73" t="s">
        <v>1017</v>
      </c>
      <c r="M131" s="73" t="s">
        <v>158</v>
      </c>
      <c r="N131" s="52">
        <f t="shared" si="2"/>
        <v>35000</v>
      </c>
      <c r="O131" s="129"/>
      <c r="P131" s="214" t="str">
        <f>IF(ISBLANK(A131), "", IF(AND(LOWER(TRIM(J131))=LOWER(TRIM(PANEL!$L$2)), K131=PANEL!$I$2), MAX($P$3:P130)+1, ""))</f>
        <v/>
      </c>
    </row>
    <row r="132" ht="21.75" customHeight="1">
      <c r="A132" s="142" t="s">
        <v>1182</v>
      </c>
      <c r="B132" s="211" t="s">
        <v>333</v>
      </c>
      <c r="C132" s="145" t="s">
        <v>139</v>
      </c>
      <c r="D132" s="143">
        <v>15.0</v>
      </c>
      <c r="E132" s="43">
        <v>10000.0</v>
      </c>
      <c r="F132" s="41">
        <v>0.0</v>
      </c>
      <c r="G132" s="144"/>
      <c r="H132" s="68" t="str">
        <f t="shared" si="1"/>
        <v>🔴 Pendiente</v>
      </c>
      <c r="I132" s="144" t="s">
        <v>1174</v>
      </c>
      <c r="J132" s="68" t="s">
        <v>1175</v>
      </c>
      <c r="K132" s="143">
        <v>2026.0</v>
      </c>
      <c r="L132" s="68" t="s">
        <v>1017</v>
      </c>
      <c r="M132" s="68" t="s">
        <v>158</v>
      </c>
      <c r="N132" s="43">
        <f t="shared" si="2"/>
        <v>10000</v>
      </c>
      <c r="O132" s="145"/>
      <c r="P132" s="212" t="str">
        <f>IF(ISBLANK(A132), "", IF(AND(LOWER(TRIM(J132))=LOWER(TRIM(PANEL!$L$2)), K132=PANEL!$I$2), MAX($P$3:P131)+1, ""))</f>
        <v/>
      </c>
    </row>
    <row r="133" ht="21.75" customHeight="1">
      <c r="A133" s="127" t="s">
        <v>1183</v>
      </c>
      <c r="B133" s="213" t="s">
        <v>400</v>
      </c>
      <c r="C133" s="129" t="s">
        <v>179</v>
      </c>
      <c r="D133" s="130">
        <v>15.0</v>
      </c>
      <c r="E133" s="52">
        <v>39000.0</v>
      </c>
      <c r="F133" s="49">
        <v>0.0</v>
      </c>
      <c r="G133" s="128"/>
      <c r="H133" s="73" t="str">
        <f t="shared" si="1"/>
        <v>🔴 Pendiente</v>
      </c>
      <c r="I133" s="128" t="s">
        <v>1174</v>
      </c>
      <c r="J133" s="73" t="s">
        <v>1175</v>
      </c>
      <c r="K133" s="130">
        <v>2026.0</v>
      </c>
      <c r="L133" s="73" t="s">
        <v>1017</v>
      </c>
      <c r="M133" s="73" t="s">
        <v>170</v>
      </c>
      <c r="N133" s="52">
        <f t="shared" si="2"/>
        <v>39000</v>
      </c>
      <c r="O133" s="129"/>
      <c r="P133" s="214" t="str">
        <f>IF(ISBLANK(A133), "", IF(AND(LOWER(TRIM(J133))=LOWER(TRIM(PANEL!$L$2)), K133=PANEL!$I$2), MAX($P$3:P132)+1, ""))</f>
        <v/>
      </c>
    </row>
    <row r="134" ht="21.75" customHeight="1">
      <c r="A134" s="142" t="s">
        <v>1184</v>
      </c>
      <c r="B134" s="211" t="s">
        <v>50</v>
      </c>
      <c r="C134" s="145" t="s">
        <v>173</v>
      </c>
      <c r="D134" s="143">
        <v>30.0</v>
      </c>
      <c r="E134" s="43">
        <v>900000.0</v>
      </c>
      <c r="F134" s="41">
        <v>0.0</v>
      </c>
      <c r="G134" s="144"/>
      <c r="H134" s="68" t="str">
        <f t="shared" si="1"/>
        <v>🔴 Pendiente</v>
      </c>
      <c r="I134" s="144" t="s">
        <v>1174</v>
      </c>
      <c r="J134" s="68" t="s">
        <v>1175</v>
      </c>
      <c r="K134" s="143">
        <v>2026.0</v>
      </c>
      <c r="L134" s="68" t="s">
        <v>1017</v>
      </c>
      <c r="M134" s="68" t="s">
        <v>170</v>
      </c>
      <c r="N134" s="43">
        <f t="shared" si="2"/>
        <v>900000</v>
      </c>
      <c r="O134" s="145"/>
      <c r="P134" s="212" t="str">
        <f>IF(ISBLANK(A134), "", IF(AND(LOWER(TRIM(J134))=LOWER(TRIM(PANEL!$L$2)), K134=PANEL!$I$2), MAX($P$3:P133)+1, ""))</f>
        <v/>
      </c>
    </row>
    <row r="135" ht="21.75" customHeight="1">
      <c r="A135" s="127" t="s">
        <v>1185</v>
      </c>
      <c r="B135" s="213" t="s">
        <v>397</v>
      </c>
      <c r="C135" s="129" t="s">
        <v>179</v>
      </c>
      <c r="D135" s="130">
        <v>30.0</v>
      </c>
      <c r="E135" s="52">
        <v>20000.0</v>
      </c>
      <c r="F135" s="49">
        <v>0.0</v>
      </c>
      <c r="G135" s="128"/>
      <c r="H135" s="73" t="str">
        <f t="shared" si="1"/>
        <v>🔴 Pendiente</v>
      </c>
      <c r="I135" s="128" t="s">
        <v>1174</v>
      </c>
      <c r="J135" s="73" t="s">
        <v>1175</v>
      </c>
      <c r="K135" s="130">
        <v>2026.0</v>
      </c>
      <c r="L135" s="73" t="s">
        <v>1017</v>
      </c>
      <c r="M135" s="73" t="s">
        <v>170</v>
      </c>
      <c r="N135" s="52">
        <f t="shared" si="2"/>
        <v>20000</v>
      </c>
      <c r="O135" s="129"/>
      <c r="P135" s="214" t="str">
        <f>IF(ISBLANK(A135), "", IF(AND(LOWER(TRIM(J135))=LOWER(TRIM(PANEL!$L$2)), K135=PANEL!$I$2), MAX($P$3:P134)+1, ""))</f>
        <v/>
      </c>
    </row>
    <row r="136" ht="21.75" customHeight="1">
      <c r="A136" s="142" t="s">
        <v>1186</v>
      </c>
      <c r="B136" s="211" t="s">
        <v>411</v>
      </c>
      <c r="C136" s="145" t="s">
        <v>155</v>
      </c>
      <c r="D136" s="143">
        <v>30.0</v>
      </c>
      <c r="E136" s="43">
        <v>25000.0</v>
      </c>
      <c r="F136" s="41">
        <v>0.0</v>
      </c>
      <c r="G136" s="144"/>
      <c r="H136" s="68" t="str">
        <f t="shared" si="1"/>
        <v>🔴 Pendiente</v>
      </c>
      <c r="I136" s="144" t="s">
        <v>1174</v>
      </c>
      <c r="J136" s="68" t="s">
        <v>1175</v>
      </c>
      <c r="K136" s="143">
        <v>2026.0</v>
      </c>
      <c r="L136" s="68" t="s">
        <v>1017</v>
      </c>
      <c r="M136" s="68" t="s">
        <v>170</v>
      </c>
      <c r="N136" s="43">
        <f t="shared" si="2"/>
        <v>25000</v>
      </c>
      <c r="O136" s="145"/>
      <c r="P136" s="212" t="str">
        <f>IF(ISBLANK(A136), "", IF(AND(LOWER(TRIM(J136))=LOWER(TRIM(PANEL!$L$2)), K136=PANEL!$I$2), MAX($P$3:P135)+1, ""))</f>
        <v/>
      </c>
    </row>
    <row r="137" ht="21.75" customHeight="1">
      <c r="A137" s="127" t="s">
        <v>1187</v>
      </c>
      <c r="B137" s="213" t="s">
        <v>477</v>
      </c>
      <c r="C137" s="129" t="s">
        <v>258</v>
      </c>
      <c r="D137" s="130">
        <v>30.0</v>
      </c>
      <c r="E137" s="52">
        <v>40000.0</v>
      </c>
      <c r="F137" s="49">
        <v>0.0</v>
      </c>
      <c r="G137" s="128"/>
      <c r="H137" s="73" t="str">
        <f t="shared" si="1"/>
        <v>🔴 Pendiente</v>
      </c>
      <c r="I137" s="128" t="s">
        <v>1174</v>
      </c>
      <c r="J137" s="73" t="s">
        <v>1175</v>
      </c>
      <c r="K137" s="130">
        <v>2026.0</v>
      </c>
      <c r="L137" s="73" t="s">
        <v>1017</v>
      </c>
      <c r="M137" s="73" t="s">
        <v>170</v>
      </c>
      <c r="N137" s="52">
        <f t="shared" si="2"/>
        <v>40000</v>
      </c>
      <c r="O137" s="129"/>
      <c r="P137" s="214" t="str">
        <f>IF(ISBLANK(A137), "", IF(AND(LOWER(TRIM(J137))=LOWER(TRIM(PANEL!$L$2)), K137=PANEL!$I$2), MAX($P$3:P136)+1, ""))</f>
        <v/>
      </c>
    </row>
    <row r="138" ht="21.75" customHeight="1">
      <c r="A138" s="142" t="s">
        <v>1188</v>
      </c>
      <c r="B138" s="211" t="s">
        <v>364</v>
      </c>
      <c r="C138" s="145" t="s">
        <v>48</v>
      </c>
      <c r="D138" s="143">
        <v>30.0</v>
      </c>
      <c r="E138" s="43">
        <v>200000.0</v>
      </c>
      <c r="F138" s="41">
        <v>0.0</v>
      </c>
      <c r="G138" s="144"/>
      <c r="H138" s="68" t="str">
        <f t="shared" si="1"/>
        <v>🔴 Pendiente</v>
      </c>
      <c r="I138" s="144" t="s">
        <v>1174</v>
      </c>
      <c r="J138" s="68" t="s">
        <v>1175</v>
      </c>
      <c r="K138" s="143">
        <v>2026.0</v>
      </c>
      <c r="L138" s="68" t="s">
        <v>1017</v>
      </c>
      <c r="M138" s="68" t="s">
        <v>170</v>
      </c>
      <c r="N138" s="43">
        <f t="shared" si="2"/>
        <v>200000</v>
      </c>
      <c r="O138" s="145"/>
      <c r="P138" s="212" t="str">
        <f>IF(ISBLANK(A138), "", IF(AND(LOWER(TRIM(J138))=LOWER(TRIM(PANEL!$L$2)), K138=PANEL!$I$2), MAX($P$3:P137)+1, ""))</f>
        <v/>
      </c>
    </row>
    <row r="139" ht="21.75" customHeight="1">
      <c r="A139" s="127" t="s">
        <v>1189</v>
      </c>
      <c r="B139" s="213" t="s">
        <v>436</v>
      </c>
      <c r="C139" s="129" t="s">
        <v>155</v>
      </c>
      <c r="D139" s="130">
        <v>30.0</v>
      </c>
      <c r="E139" s="52">
        <v>40000.0</v>
      </c>
      <c r="F139" s="49">
        <v>0.0</v>
      </c>
      <c r="G139" s="128"/>
      <c r="H139" s="73" t="str">
        <f t="shared" si="1"/>
        <v>🔴 Pendiente</v>
      </c>
      <c r="I139" s="128" t="s">
        <v>1174</v>
      </c>
      <c r="J139" s="73" t="s">
        <v>1175</v>
      </c>
      <c r="K139" s="130">
        <v>2026.0</v>
      </c>
      <c r="L139" s="73" t="s">
        <v>1017</v>
      </c>
      <c r="M139" s="73" t="s">
        <v>170</v>
      </c>
      <c r="N139" s="52">
        <f t="shared" si="2"/>
        <v>40000</v>
      </c>
      <c r="O139" s="129"/>
      <c r="P139" s="214" t="str">
        <f>IF(ISBLANK(A139), "", IF(AND(LOWER(TRIM(J139))=LOWER(TRIM(PANEL!$L$2)), K139=PANEL!$I$2), MAX($P$3:P138)+1, ""))</f>
        <v/>
      </c>
    </row>
    <row r="140" ht="21.75" customHeight="1">
      <c r="A140" s="142" t="s">
        <v>1190</v>
      </c>
      <c r="B140" s="211" t="s">
        <v>1100</v>
      </c>
      <c r="C140" s="145" t="s">
        <v>179</v>
      </c>
      <c r="D140" s="143">
        <v>15.0</v>
      </c>
      <c r="E140" s="43">
        <v>177000.0</v>
      </c>
      <c r="F140" s="41">
        <v>0.0</v>
      </c>
      <c r="G140" s="144"/>
      <c r="H140" s="68" t="str">
        <f t="shared" si="1"/>
        <v>🔴 Pendiente</v>
      </c>
      <c r="I140" s="144" t="s">
        <v>1191</v>
      </c>
      <c r="J140" s="68" t="s">
        <v>197</v>
      </c>
      <c r="K140" s="143">
        <v>2027.0</v>
      </c>
      <c r="L140" s="68" t="s">
        <v>1017</v>
      </c>
      <c r="M140" s="68" t="s">
        <v>158</v>
      </c>
      <c r="N140" s="43">
        <f t="shared" si="2"/>
        <v>177000</v>
      </c>
      <c r="O140" s="145"/>
      <c r="P140" s="212" t="str">
        <f>IF(ISBLANK(A140), "", IF(AND(LOWER(TRIM(J140))=LOWER(TRIM(PANEL!$L$2)), K140=PANEL!$I$2), MAX($P$3:P139)+1, ""))</f>
        <v/>
      </c>
    </row>
    <row r="141" ht="21.75" customHeight="1">
      <c r="A141" s="127" t="s">
        <v>1192</v>
      </c>
      <c r="B141" s="213" t="s">
        <v>364</v>
      </c>
      <c r="C141" s="129" t="s">
        <v>48</v>
      </c>
      <c r="D141" s="130">
        <v>15.0</v>
      </c>
      <c r="E141" s="52">
        <v>850000.0</v>
      </c>
      <c r="F141" s="49">
        <v>0.0</v>
      </c>
      <c r="G141" s="128"/>
      <c r="H141" s="73" t="str">
        <f t="shared" si="1"/>
        <v>🔴 Pendiente</v>
      </c>
      <c r="I141" s="128" t="s">
        <v>1191</v>
      </c>
      <c r="J141" s="73" t="s">
        <v>197</v>
      </c>
      <c r="K141" s="130">
        <v>2027.0</v>
      </c>
      <c r="L141" s="73" t="s">
        <v>1017</v>
      </c>
      <c r="M141" s="73" t="s">
        <v>158</v>
      </c>
      <c r="N141" s="52">
        <f t="shared" si="2"/>
        <v>850000</v>
      </c>
      <c r="O141" s="129"/>
      <c r="P141" s="214" t="str">
        <f>IF(ISBLANK(A141), "", IF(AND(LOWER(TRIM(J141))=LOWER(TRIM(PANEL!$L$2)), K141=PANEL!$I$2), MAX($P$3:P140)+1, ""))</f>
        <v/>
      </c>
    </row>
    <row r="142" ht="21.75" customHeight="1">
      <c r="A142" s="142" t="s">
        <v>1193</v>
      </c>
      <c r="B142" s="211" t="s">
        <v>471</v>
      </c>
      <c r="C142" s="145" t="s">
        <v>179</v>
      </c>
      <c r="D142" s="143">
        <v>15.0</v>
      </c>
      <c r="E142" s="43">
        <v>120000.0</v>
      </c>
      <c r="F142" s="41">
        <v>0.0</v>
      </c>
      <c r="G142" s="144"/>
      <c r="H142" s="68" t="str">
        <f t="shared" si="1"/>
        <v>🔴 Pendiente</v>
      </c>
      <c r="I142" s="144" t="s">
        <v>1191</v>
      </c>
      <c r="J142" s="68" t="s">
        <v>197</v>
      </c>
      <c r="K142" s="143">
        <v>2027.0</v>
      </c>
      <c r="L142" s="68" t="s">
        <v>1017</v>
      </c>
      <c r="M142" s="68" t="s">
        <v>158</v>
      </c>
      <c r="N142" s="43">
        <f t="shared" si="2"/>
        <v>120000</v>
      </c>
      <c r="O142" s="145"/>
      <c r="P142" s="212" t="str">
        <f>IF(ISBLANK(A142), "", IF(AND(LOWER(TRIM(J142))=LOWER(TRIM(PANEL!$L$2)), K142=PANEL!$I$2), MAX($P$3:P141)+1, ""))</f>
        <v/>
      </c>
    </row>
    <row r="143" ht="21.75" customHeight="1">
      <c r="A143" s="127" t="s">
        <v>1194</v>
      </c>
      <c r="B143" s="213" t="s">
        <v>477</v>
      </c>
      <c r="C143" s="129" t="s">
        <v>258</v>
      </c>
      <c r="D143" s="130">
        <v>15.0</v>
      </c>
      <c r="E143" s="52">
        <v>40000.0</v>
      </c>
      <c r="F143" s="49">
        <v>0.0</v>
      </c>
      <c r="G143" s="128"/>
      <c r="H143" s="73" t="str">
        <f t="shared" si="1"/>
        <v>🔴 Pendiente</v>
      </c>
      <c r="I143" s="128" t="s">
        <v>1191</v>
      </c>
      <c r="J143" s="73" t="s">
        <v>197</v>
      </c>
      <c r="K143" s="130">
        <v>2027.0</v>
      </c>
      <c r="L143" s="73" t="s">
        <v>1017</v>
      </c>
      <c r="M143" s="73" t="s">
        <v>158</v>
      </c>
      <c r="N143" s="52">
        <f t="shared" si="2"/>
        <v>40000</v>
      </c>
      <c r="O143" s="129"/>
      <c r="P143" s="214" t="str">
        <f>IF(ISBLANK(A143), "", IF(AND(LOWER(TRIM(J143))=LOWER(TRIM(PANEL!$L$2)), K143=PANEL!$I$2), MAX($P$3:P142)+1, ""))</f>
        <v/>
      </c>
    </row>
    <row r="144" ht="21.75" customHeight="1">
      <c r="A144" s="142" t="s">
        <v>1195</v>
      </c>
      <c r="B144" s="211" t="s">
        <v>1123</v>
      </c>
      <c r="C144" s="145" t="s">
        <v>271</v>
      </c>
      <c r="D144" s="143">
        <v>15.0</v>
      </c>
      <c r="E144" s="43">
        <v>50000.0</v>
      </c>
      <c r="F144" s="41">
        <v>0.0</v>
      </c>
      <c r="G144" s="144"/>
      <c r="H144" s="68" t="str">
        <f t="shared" si="1"/>
        <v>🔴 Pendiente</v>
      </c>
      <c r="I144" s="144" t="s">
        <v>1191</v>
      </c>
      <c r="J144" s="68" t="s">
        <v>197</v>
      </c>
      <c r="K144" s="143">
        <v>2027.0</v>
      </c>
      <c r="L144" s="68" t="s">
        <v>1017</v>
      </c>
      <c r="M144" s="68" t="s">
        <v>158</v>
      </c>
      <c r="N144" s="43">
        <f t="shared" si="2"/>
        <v>50000</v>
      </c>
      <c r="O144" s="145"/>
      <c r="P144" s="212" t="str">
        <f>IF(ISBLANK(A144), "", IF(AND(LOWER(TRIM(J144))=LOWER(TRIM(PANEL!$L$2)), K144=PANEL!$I$2), MAX($P$3:P143)+1, ""))</f>
        <v/>
      </c>
    </row>
    <row r="145" ht="21.75" customHeight="1">
      <c r="A145" s="127" t="s">
        <v>1196</v>
      </c>
      <c r="B145" s="213" t="s">
        <v>436</v>
      </c>
      <c r="C145" s="129" t="s">
        <v>155</v>
      </c>
      <c r="D145" s="130">
        <v>15.0</v>
      </c>
      <c r="E145" s="52">
        <v>60000.0</v>
      </c>
      <c r="F145" s="49">
        <v>0.0</v>
      </c>
      <c r="G145" s="128"/>
      <c r="H145" s="73" t="str">
        <f t="shared" si="1"/>
        <v>🔴 Pendiente</v>
      </c>
      <c r="I145" s="128" t="s">
        <v>1191</v>
      </c>
      <c r="J145" s="73" t="s">
        <v>197</v>
      </c>
      <c r="K145" s="130">
        <v>2027.0</v>
      </c>
      <c r="L145" s="73" t="s">
        <v>1017</v>
      </c>
      <c r="M145" s="73" t="s">
        <v>170</v>
      </c>
      <c r="N145" s="52">
        <f t="shared" si="2"/>
        <v>60000</v>
      </c>
      <c r="O145" s="129"/>
      <c r="P145" s="214" t="str">
        <f>IF(ISBLANK(A145), "", IF(AND(LOWER(TRIM(J145))=LOWER(TRIM(PANEL!$L$2)), K145=PANEL!$I$2), MAX($P$3:P144)+1, ""))</f>
        <v/>
      </c>
    </row>
    <row r="146" ht="21.75" customHeight="1">
      <c r="A146" s="142" t="s">
        <v>1197</v>
      </c>
      <c r="B146" s="211" t="s">
        <v>411</v>
      </c>
      <c r="C146" s="145" t="s">
        <v>155</v>
      </c>
      <c r="D146" s="143">
        <v>15.0</v>
      </c>
      <c r="E146" s="43">
        <v>35000.0</v>
      </c>
      <c r="F146" s="41">
        <v>0.0</v>
      </c>
      <c r="G146" s="144"/>
      <c r="H146" s="68" t="str">
        <f t="shared" si="1"/>
        <v>🔴 Pendiente</v>
      </c>
      <c r="I146" s="144" t="s">
        <v>1191</v>
      </c>
      <c r="J146" s="68" t="s">
        <v>197</v>
      </c>
      <c r="K146" s="143">
        <v>2027.0</v>
      </c>
      <c r="L146" s="68" t="s">
        <v>1017</v>
      </c>
      <c r="M146" s="68" t="s">
        <v>158</v>
      </c>
      <c r="N146" s="43">
        <f t="shared" si="2"/>
        <v>35000</v>
      </c>
      <c r="O146" s="145"/>
      <c r="P146" s="212" t="str">
        <f>IF(ISBLANK(A146), "", IF(AND(LOWER(TRIM(J146))=LOWER(TRIM(PANEL!$L$2)), K146=PANEL!$I$2), MAX($P$3:P145)+1, ""))</f>
        <v/>
      </c>
    </row>
    <row r="147" ht="21.75" customHeight="1">
      <c r="A147" s="127" t="s">
        <v>1198</v>
      </c>
      <c r="B147" s="213" t="s">
        <v>333</v>
      </c>
      <c r="C147" s="129" t="s">
        <v>139</v>
      </c>
      <c r="D147" s="130">
        <v>15.0</v>
      </c>
      <c r="E147" s="52">
        <v>10000.0</v>
      </c>
      <c r="F147" s="49">
        <v>0.0</v>
      </c>
      <c r="G147" s="128"/>
      <c r="H147" s="73" t="str">
        <f t="shared" si="1"/>
        <v>🔴 Pendiente</v>
      </c>
      <c r="I147" s="128" t="s">
        <v>1191</v>
      </c>
      <c r="J147" s="73" t="s">
        <v>197</v>
      </c>
      <c r="K147" s="130">
        <v>2027.0</v>
      </c>
      <c r="L147" s="73" t="s">
        <v>1017</v>
      </c>
      <c r="M147" s="73" t="s">
        <v>158</v>
      </c>
      <c r="N147" s="52">
        <f t="shared" si="2"/>
        <v>10000</v>
      </c>
      <c r="O147" s="129"/>
      <c r="P147" s="214" t="str">
        <f>IF(ISBLANK(A147), "", IF(AND(LOWER(TRIM(J147))=LOWER(TRIM(PANEL!$L$2)), K147=PANEL!$I$2), MAX($P$3:P146)+1, ""))</f>
        <v/>
      </c>
    </row>
    <row r="148" ht="21.75" customHeight="1">
      <c r="A148" s="142" t="s">
        <v>1199</v>
      </c>
      <c r="B148" s="211" t="s">
        <v>400</v>
      </c>
      <c r="C148" s="145" t="s">
        <v>179</v>
      </c>
      <c r="D148" s="143">
        <v>15.0</v>
      </c>
      <c r="E148" s="43">
        <v>39000.0</v>
      </c>
      <c r="F148" s="41">
        <v>0.0</v>
      </c>
      <c r="G148" s="144"/>
      <c r="H148" s="68" t="str">
        <f t="shared" si="1"/>
        <v>🔴 Pendiente</v>
      </c>
      <c r="I148" s="144" t="s">
        <v>1191</v>
      </c>
      <c r="J148" s="68" t="s">
        <v>197</v>
      </c>
      <c r="K148" s="143">
        <v>2027.0</v>
      </c>
      <c r="L148" s="68" t="s">
        <v>1017</v>
      </c>
      <c r="M148" s="68" t="s">
        <v>170</v>
      </c>
      <c r="N148" s="43">
        <f t="shared" si="2"/>
        <v>39000</v>
      </c>
      <c r="O148" s="145"/>
      <c r="P148" s="212" t="str">
        <f>IF(ISBLANK(A148), "", IF(AND(LOWER(TRIM(J148))=LOWER(TRIM(PANEL!$L$2)), K148=PANEL!$I$2), MAX($P$3:P147)+1, ""))</f>
        <v/>
      </c>
    </row>
    <row r="149" ht="21.75" customHeight="1">
      <c r="A149" s="127" t="s">
        <v>1200</v>
      </c>
      <c r="B149" s="213" t="s">
        <v>50</v>
      </c>
      <c r="C149" s="129" t="s">
        <v>173</v>
      </c>
      <c r="D149" s="130">
        <v>30.0</v>
      </c>
      <c r="E149" s="52">
        <v>900000.0</v>
      </c>
      <c r="F149" s="49">
        <v>0.0</v>
      </c>
      <c r="G149" s="128"/>
      <c r="H149" s="73" t="str">
        <f t="shared" si="1"/>
        <v>🔴 Pendiente</v>
      </c>
      <c r="I149" s="128" t="s">
        <v>1191</v>
      </c>
      <c r="J149" s="73" t="s">
        <v>197</v>
      </c>
      <c r="K149" s="130">
        <v>2027.0</v>
      </c>
      <c r="L149" s="73" t="s">
        <v>1017</v>
      </c>
      <c r="M149" s="73" t="s">
        <v>170</v>
      </c>
      <c r="N149" s="52">
        <f t="shared" si="2"/>
        <v>900000</v>
      </c>
      <c r="O149" s="129"/>
      <c r="P149" s="214" t="str">
        <f>IF(ISBLANK(A149), "", IF(AND(LOWER(TRIM(J149))=LOWER(TRIM(PANEL!$L$2)), K149=PANEL!$I$2), MAX($P$3:P148)+1, ""))</f>
        <v/>
      </c>
    </row>
    <row r="150" ht="21.75" customHeight="1">
      <c r="A150" s="142" t="s">
        <v>1201</v>
      </c>
      <c r="B150" s="211" t="s">
        <v>397</v>
      </c>
      <c r="C150" s="145" t="s">
        <v>179</v>
      </c>
      <c r="D150" s="143">
        <v>30.0</v>
      </c>
      <c r="E150" s="43">
        <v>20000.0</v>
      </c>
      <c r="F150" s="41">
        <v>0.0</v>
      </c>
      <c r="G150" s="144"/>
      <c r="H150" s="68" t="str">
        <f t="shared" si="1"/>
        <v>🔴 Pendiente</v>
      </c>
      <c r="I150" s="144" t="s">
        <v>1191</v>
      </c>
      <c r="J150" s="68" t="s">
        <v>197</v>
      </c>
      <c r="K150" s="143">
        <v>2027.0</v>
      </c>
      <c r="L150" s="68" t="s">
        <v>1017</v>
      </c>
      <c r="M150" s="68" t="s">
        <v>170</v>
      </c>
      <c r="N150" s="43">
        <f t="shared" si="2"/>
        <v>20000</v>
      </c>
      <c r="O150" s="145"/>
      <c r="P150" s="212" t="str">
        <f>IF(ISBLANK(A150), "", IF(AND(LOWER(TRIM(J150))=LOWER(TRIM(PANEL!$L$2)), K150=PANEL!$I$2), MAX($P$3:P149)+1, ""))</f>
        <v/>
      </c>
    </row>
    <row r="151" ht="21.75" customHeight="1">
      <c r="A151" s="127" t="s">
        <v>1202</v>
      </c>
      <c r="B151" s="213" t="s">
        <v>411</v>
      </c>
      <c r="C151" s="129" t="s">
        <v>155</v>
      </c>
      <c r="D151" s="130">
        <v>30.0</v>
      </c>
      <c r="E151" s="52">
        <v>25000.0</v>
      </c>
      <c r="F151" s="49">
        <v>0.0</v>
      </c>
      <c r="G151" s="128"/>
      <c r="H151" s="73" t="str">
        <f t="shared" si="1"/>
        <v>🔴 Pendiente</v>
      </c>
      <c r="I151" s="128" t="s">
        <v>1191</v>
      </c>
      <c r="J151" s="73" t="s">
        <v>197</v>
      </c>
      <c r="K151" s="130">
        <v>2027.0</v>
      </c>
      <c r="L151" s="73" t="s">
        <v>1017</v>
      </c>
      <c r="M151" s="73" t="s">
        <v>170</v>
      </c>
      <c r="N151" s="52">
        <f t="shared" si="2"/>
        <v>25000</v>
      </c>
      <c r="O151" s="129"/>
      <c r="P151" s="214" t="str">
        <f>IF(ISBLANK(A151), "", IF(AND(LOWER(TRIM(J151))=LOWER(TRIM(PANEL!$L$2)), K151=PANEL!$I$2), MAX($P$3:P150)+1, ""))</f>
        <v/>
      </c>
    </row>
    <row r="152" ht="21.75" customHeight="1">
      <c r="A152" s="142" t="s">
        <v>1203</v>
      </c>
      <c r="B152" s="211" t="s">
        <v>477</v>
      </c>
      <c r="C152" s="145" t="s">
        <v>258</v>
      </c>
      <c r="D152" s="143">
        <v>30.0</v>
      </c>
      <c r="E152" s="43">
        <v>40000.0</v>
      </c>
      <c r="F152" s="41">
        <v>0.0</v>
      </c>
      <c r="G152" s="144"/>
      <c r="H152" s="68" t="str">
        <f t="shared" si="1"/>
        <v>🔴 Pendiente</v>
      </c>
      <c r="I152" s="144" t="s">
        <v>1191</v>
      </c>
      <c r="J152" s="68" t="s">
        <v>197</v>
      </c>
      <c r="K152" s="143">
        <v>2027.0</v>
      </c>
      <c r="L152" s="68" t="s">
        <v>1017</v>
      </c>
      <c r="M152" s="68" t="s">
        <v>170</v>
      </c>
      <c r="N152" s="43">
        <f t="shared" si="2"/>
        <v>40000</v>
      </c>
      <c r="O152" s="145"/>
      <c r="P152" s="212" t="str">
        <f>IF(ISBLANK(A152), "", IF(AND(LOWER(TRIM(J152))=LOWER(TRIM(PANEL!$L$2)), K152=PANEL!$I$2), MAX($P$3:P151)+1, ""))</f>
        <v/>
      </c>
    </row>
    <row r="153" ht="21.75" customHeight="1">
      <c r="A153" s="127" t="s">
        <v>1204</v>
      </c>
      <c r="B153" s="213" t="s">
        <v>364</v>
      </c>
      <c r="C153" s="129" t="s">
        <v>48</v>
      </c>
      <c r="D153" s="130">
        <v>30.0</v>
      </c>
      <c r="E153" s="52">
        <v>200000.0</v>
      </c>
      <c r="F153" s="49">
        <v>0.0</v>
      </c>
      <c r="G153" s="128"/>
      <c r="H153" s="73" t="str">
        <f t="shared" si="1"/>
        <v>🔴 Pendiente</v>
      </c>
      <c r="I153" s="128" t="s">
        <v>1191</v>
      </c>
      <c r="J153" s="73" t="s">
        <v>197</v>
      </c>
      <c r="K153" s="130">
        <v>2027.0</v>
      </c>
      <c r="L153" s="73" t="s">
        <v>1017</v>
      </c>
      <c r="M153" s="73" t="s">
        <v>170</v>
      </c>
      <c r="N153" s="52">
        <f t="shared" si="2"/>
        <v>200000</v>
      </c>
      <c r="O153" s="129"/>
      <c r="P153" s="214" t="str">
        <f>IF(ISBLANK(A153), "", IF(AND(LOWER(TRIM(J153))=LOWER(TRIM(PANEL!$L$2)), K153=PANEL!$I$2), MAX($P$3:P152)+1, ""))</f>
        <v/>
      </c>
    </row>
    <row r="154" ht="21.75" customHeight="1">
      <c r="A154" s="142" t="s">
        <v>1205</v>
      </c>
      <c r="B154" s="211" t="s">
        <v>436</v>
      </c>
      <c r="C154" s="145" t="s">
        <v>155</v>
      </c>
      <c r="D154" s="143">
        <v>30.0</v>
      </c>
      <c r="E154" s="43">
        <v>40000.0</v>
      </c>
      <c r="F154" s="41">
        <v>0.0</v>
      </c>
      <c r="G154" s="144"/>
      <c r="H154" s="68" t="str">
        <f t="shared" si="1"/>
        <v>🔴 Pendiente</v>
      </c>
      <c r="I154" s="144" t="s">
        <v>1191</v>
      </c>
      <c r="J154" s="68" t="s">
        <v>197</v>
      </c>
      <c r="K154" s="143">
        <v>2027.0</v>
      </c>
      <c r="L154" s="68" t="s">
        <v>1017</v>
      </c>
      <c r="M154" s="68" t="s">
        <v>170</v>
      </c>
      <c r="N154" s="43">
        <f t="shared" si="2"/>
        <v>40000</v>
      </c>
      <c r="O154" s="145"/>
      <c r="P154" s="212" t="str">
        <f>IF(ISBLANK(A154), "", IF(AND(LOWER(TRIM(J154))=LOWER(TRIM(PANEL!$L$2)), K154=PANEL!$I$2), MAX($P$3:P153)+1, ""))</f>
        <v/>
      </c>
    </row>
    <row r="155" ht="21.75" customHeight="1">
      <c r="A155" s="127" t="s">
        <v>1206</v>
      </c>
      <c r="B155" s="213" t="s">
        <v>1100</v>
      </c>
      <c r="C155" s="129" t="s">
        <v>179</v>
      </c>
      <c r="D155" s="130">
        <v>15.0</v>
      </c>
      <c r="E155" s="52">
        <v>177000.0</v>
      </c>
      <c r="F155" s="49">
        <v>0.0</v>
      </c>
      <c r="G155" s="128"/>
      <c r="H155" s="73" t="str">
        <f t="shared" si="1"/>
        <v>🔴 Pendiente</v>
      </c>
      <c r="I155" s="128" t="s">
        <v>1207</v>
      </c>
      <c r="J155" s="73" t="s">
        <v>205</v>
      </c>
      <c r="K155" s="130">
        <v>2027.0</v>
      </c>
      <c r="L155" s="73" t="s">
        <v>1017</v>
      </c>
      <c r="M155" s="73" t="s">
        <v>158</v>
      </c>
      <c r="N155" s="52">
        <f t="shared" si="2"/>
        <v>177000</v>
      </c>
      <c r="O155" s="129"/>
      <c r="P155" s="214" t="str">
        <f>IF(ISBLANK(A155), "", IF(AND(LOWER(TRIM(J155))=LOWER(TRIM(PANEL!$L$2)), K155=PANEL!$I$2), MAX($P$3:P154)+1, ""))</f>
        <v/>
      </c>
    </row>
    <row r="156" ht="21.75" customHeight="1">
      <c r="A156" s="142" t="s">
        <v>1208</v>
      </c>
      <c r="B156" s="211" t="s">
        <v>364</v>
      </c>
      <c r="C156" s="145" t="s">
        <v>48</v>
      </c>
      <c r="D156" s="143">
        <v>15.0</v>
      </c>
      <c r="E156" s="43">
        <v>850000.0</v>
      </c>
      <c r="F156" s="41">
        <v>0.0</v>
      </c>
      <c r="G156" s="144"/>
      <c r="H156" s="68" t="str">
        <f t="shared" si="1"/>
        <v>🔴 Pendiente</v>
      </c>
      <c r="I156" s="144" t="s">
        <v>1207</v>
      </c>
      <c r="J156" s="68" t="s">
        <v>205</v>
      </c>
      <c r="K156" s="143">
        <v>2027.0</v>
      </c>
      <c r="L156" s="68" t="s">
        <v>1017</v>
      </c>
      <c r="M156" s="68" t="s">
        <v>158</v>
      </c>
      <c r="N156" s="43">
        <f t="shared" si="2"/>
        <v>850000</v>
      </c>
      <c r="O156" s="145"/>
      <c r="P156" s="212" t="str">
        <f>IF(ISBLANK(A156), "", IF(AND(LOWER(TRIM(J156))=LOWER(TRIM(PANEL!$L$2)), K156=PANEL!$I$2), MAX($P$3:P155)+1, ""))</f>
        <v/>
      </c>
    </row>
    <row r="157" ht="21.75" customHeight="1">
      <c r="A157" s="127" t="s">
        <v>1209</v>
      </c>
      <c r="B157" s="213" t="s">
        <v>471</v>
      </c>
      <c r="C157" s="129" t="s">
        <v>179</v>
      </c>
      <c r="D157" s="130">
        <v>15.0</v>
      </c>
      <c r="E157" s="52">
        <v>120000.0</v>
      </c>
      <c r="F157" s="49">
        <v>0.0</v>
      </c>
      <c r="G157" s="128"/>
      <c r="H157" s="73" t="str">
        <f t="shared" si="1"/>
        <v>🔴 Pendiente</v>
      </c>
      <c r="I157" s="128" t="s">
        <v>1207</v>
      </c>
      <c r="J157" s="73" t="s">
        <v>205</v>
      </c>
      <c r="K157" s="130">
        <v>2027.0</v>
      </c>
      <c r="L157" s="73" t="s">
        <v>1017</v>
      </c>
      <c r="M157" s="73" t="s">
        <v>158</v>
      </c>
      <c r="N157" s="52">
        <f t="shared" si="2"/>
        <v>120000</v>
      </c>
      <c r="O157" s="129"/>
      <c r="P157" s="214" t="str">
        <f>IF(ISBLANK(A157), "", IF(AND(LOWER(TRIM(J157))=LOWER(TRIM(PANEL!$L$2)), K157=PANEL!$I$2), MAX($P$3:P156)+1, ""))</f>
        <v/>
      </c>
    </row>
    <row r="158" ht="21.75" customHeight="1">
      <c r="A158" s="142" t="s">
        <v>1210</v>
      </c>
      <c r="B158" s="211" t="s">
        <v>477</v>
      </c>
      <c r="C158" s="145" t="s">
        <v>258</v>
      </c>
      <c r="D158" s="143">
        <v>15.0</v>
      </c>
      <c r="E158" s="43">
        <v>40000.0</v>
      </c>
      <c r="F158" s="41">
        <v>0.0</v>
      </c>
      <c r="G158" s="144"/>
      <c r="H158" s="68" t="str">
        <f t="shared" si="1"/>
        <v>🔴 Pendiente</v>
      </c>
      <c r="I158" s="144" t="s">
        <v>1207</v>
      </c>
      <c r="J158" s="68" t="s">
        <v>205</v>
      </c>
      <c r="K158" s="143">
        <v>2027.0</v>
      </c>
      <c r="L158" s="68" t="s">
        <v>1017</v>
      </c>
      <c r="M158" s="68" t="s">
        <v>158</v>
      </c>
      <c r="N158" s="43">
        <f t="shared" si="2"/>
        <v>40000</v>
      </c>
      <c r="O158" s="145"/>
      <c r="P158" s="212" t="str">
        <f>IF(ISBLANK(A158), "", IF(AND(LOWER(TRIM(J158))=LOWER(TRIM(PANEL!$L$2)), K158=PANEL!$I$2), MAX($P$3:P157)+1, ""))</f>
        <v/>
      </c>
    </row>
    <row r="159" ht="21.75" customHeight="1">
      <c r="A159" s="127" t="s">
        <v>1211</v>
      </c>
      <c r="B159" s="213" t="s">
        <v>1123</v>
      </c>
      <c r="C159" s="129" t="s">
        <v>271</v>
      </c>
      <c r="D159" s="130">
        <v>15.0</v>
      </c>
      <c r="E159" s="52">
        <v>50000.0</v>
      </c>
      <c r="F159" s="49">
        <v>0.0</v>
      </c>
      <c r="G159" s="128"/>
      <c r="H159" s="73" t="str">
        <f t="shared" si="1"/>
        <v>🔴 Pendiente</v>
      </c>
      <c r="I159" s="128" t="s">
        <v>1207</v>
      </c>
      <c r="J159" s="73" t="s">
        <v>205</v>
      </c>
      <c r="K159" s="130">
        <v>2027.0</v>
      </c>
      <c r="L159" s="73" t="s">
        <v>1017</v>
      </c>
      <c r="M159" s="73" t="s">
        <v>158</v>
      </c>
      <c r="N159" s="52">
        <f t="shared" si="2"/>
        <v>50000</v>
      </c>
      <c r="O159" s="129"/>
      <c r="P159" s="214" t="str">
        <f>IF(ISBLANK(A159), "", IF(AND(LOWER(TRIM(J159))=LOWER(TRIM(PANEL!$L$2)), K159=PANEL!$I$2), MAX($P$3:P158)+1, ""))</f>
        <v/>
      </c>
    </row>
    <row r="160" ht="21.75" customHeight="1">
      <c r="A160" s="142" t="s">
        <v>1212</v>
      </c>
      <c r="B160" s="211" t="s">
        <v>436</v>
      </c>
      <c r="C160" s="145" t="s">
        <v>155</v>
      </c>
      <c r="D160" s="143">
        <v>15.0</v>
      </c>
      <c r="E160" s="43">
        <v>60000.0</v>
      </c>
      <c r="F160" s="41">
        <v>0.0</v>
      </c>
      <c r="G160" s="144"/>
      <c r="H160" s="68" t="str">
        <f t="shared" si="1"/>
        <v>🔴 Pendiente</v>
      </c>
      <c r="I160" s="144" t="s">
        <v>1207</v>
      </c>
      <c r="J160" s="68" t="s">
        <v>205</v>
      </c>
      <c r="K160" s="143">
        <v>2027.0</v>
      </c>
      <c r="L160" s="68" t="s">
        <v>1017</v>
      </c>
      <c r="M160" s="68" t="s">
        <v>170</v>
      </c>
      <c r="N160" s="43">
        <f t="shared" si="2"/>
        <v>60000</v>
      </c>
      <c r="O160" s="145"/>
      <c r="P160" s="212" t="str">
        <f>IF(ISBLANK(A160), "", IF(AND(LOWER(TRIM(J160))=LOWER(TRIM(PANEL!$L$2)), K160=PANEL!$I$2), MAX($P$3:P159)+1, ""))</f>
        <v/>
      </c>
    </row>
    <row r="161" ht="21.75" customHeight="1">
      <c r="A161" s="127" t="s">
        <v>1213</v>
      </c>
      <c r="B161" s="213" t="s">
        <v>411</v>
      </c>
      <c r="C161" s="129" t="s">
        <v>155</v>
      </c>
      <c r="D161" s="130">
        <v>15.0</v>
      </c>
      <c r="E161" s="52">
        <v>35000.0</v>
      </c>
      <c r="F161" s="49">
        <v>0.0</v>
      </c>
      <c r="G161" s="128"/>
      <c r="H161" s="73" t="str">
        <f t="shared" si="1"/>
        <v>🔴 Pendiente</v>
      </c>
      <c r="I161" s="128" t="s">
        <v>1207</v>
      </c>
      <c r="J161" s="73" t="s">
        <v>205</v>
      </c>
      <c r="K161" s="130">
        <v>2027.0</v>
      </c>
      <c r="L161" s="73" t="s">
        <v>1017</v>
      </c>
      <c r="M161" s="73" t="s">
        <v>158</v>
      </c>
      <c r="N161" s="52">
        <f t="shared" si="2"/>
        <v>35000</v>
      </c>
      <c r="O161" s="129"/>
      <c r="P161" s="214" t="str">
        <f>IF(ISBLANK(A161), "", IF(AND(LOWER(TRIM(J161))=LOWER(TRIM(PANEL!$L$2)), K161=PANEL!$I$2), MAX($P$3:P160)+1, ""))</f>
        <v/>
      </c>
    </row>
    <row r="162" ht="21.75" customHeight="1">
      <c r="A162" s="142" t="s">
        <v>1214</v>
      </c>
      <c r="B162" s="211" t="s">
        <v>333</v>
      </c>
      <c r="C162" s="145" t="s">
        <v>139</v>
      </c>
      <c r="D162" s="143">
        <v>15.0</v>
      </c>
      <c r="E162" s="43">
        <v>10000.0</v>
      </c>
      <c r="F162" s="41">
        <v>0.0</v>
      </c>
      <c r="G162" s="144"/>
      <c r="H162" s="68" t="str">
        <f t="shared" si="1"/>
        <v>🔴 Pendiente</v>
      </c>
      <c r="I162" s="144" t="s">
        <v>1207</v>
      </c>
      <c r="J162" s="68" t="s">
        <v>205</v>
      </c>
      <c r="K162" s="143">
        <v>2027.0</v>
      </c>
      <c r="L162" s="68" t="s">
        <v>1017</v>
      </c>
      <c r="M162" s="68" t="s">
        <v>158</v>
      </c>
      <c r="N162" s="43">
        <f t="shared" si="2"/>
        <v>10000</v>
      </c>
      <c r="O162" s="145"/>
      <c r="P162" s="212" t="str">
        <f>IF(ISBLANK(A162), "", IF(AND(LOWER(TRIM(J162))=LOWER(TRIM(PANEL!$L$2)), K162=PANEL!$I$2), MAX($P$3:P161)+1, ""))</f>
        <v/>
      </c>
    </row>
    <row r="163" ht="21.75" customHeight="1">
      <c r="A163" s="127" t="s">
        <v>1215</v>
      </c>
      <c r="B163" s="213" t="s">
        <v>400</v>
      </c>
      <c r="C163" s="129" t="s">
        <v>179</v>
      </c>
      <c r="D163" s="130">
        <v>15.0</v>
      </c>
      <c r="E163" s="52">
        <v>39000.0</v>
      </c>
      <c r="F163" s="49">
        <v>0.0</v>
      </c>
      <c r="G163" s="128"/>
      <c r="H163" s="73" t="str">
        <f t="shared" si="1"/>
        <v>🔴 Pendiente</v>
      </c>
      <c r="I163" s="128" t="s">
        <v>1207</v>
      </c>
      <c r="J163" s="73" t="s">
        <v>205</v>
      </c>
      <c r="K163" s="130">
        <v>2027.0</v>
      </c>
      <c r="L163" s="73" t="s">
        <v>1017</v>
      </c>
      <c r="M163" s="73" t="s">
        <v>170</v>
      </c>
      <c r="N163" s="52">
        <f t="shared" si="2"/>
        <v>39000</v>
      </c>
      <c r="O163" s="129"/>
      <c r="P163" s="214" t="str">
        <f>IF(ISBLANK(A163), "", IF(AND(LOWER(TRIM(J163))=LOWER(TRIM(PANEL!$L$2)), K163=PANEL!$I$2), MAX($P$3:P162)+1, ""))</f>
        <v/>
      </c>
    </row>
    <row r="164" ht="21.75" customHeight="1">
      <c r="A164" s="142" t="s">
        <v>1216</v>
      </c>
      <c r="B164" s="211" t="s">
        <v>50</v>
      </c>
      <c r="C164" s="145" t="s">
        <v>173</v>
      </c>
      <c r="D164" s="143">
        <v>30.0</v>
      </c>
      <c r="E164" s="43">
        <v>900000.0</v>
      </c>
      <c r="F164" s="41">
        <v>0.0</v>
      </c>
      <c r="G164" s="144"/>
      <c r="H164" s="68" t="str">
        <f t="shared" si="1"/>
        <v>🔴 Pendiente</v>
      </c>
      <c r="I164" s="144" t="s">
        <v>1207</v>
      </c>
      <c r="J164" s="68" t="s">
        <v>205</v>
      </c>
      <c r="K164" s="143">
        <v>2027.0</v>
      </c>
      <c r="L164" s="68" t="s">
        <v>1017</v>
      </c>
      <c r="M164" s="68" t="s">
        <v>170</v>
      </c>
      <c r="N164" s="43">
        <f t="shared" si="2"/>
        <v>900000</v>
      </c>
      <c r="O164" s="145"/>
      <c r="P164" s="212" t="str">
        <f>IF(ISBLANK(A164), "", IF(AND(LOWER(TRIM(J164))=LOWER(TRIM(PANEL!$L$2)), K164=PANEL!$I$2), MAX($P$3:P163)+1, ""))</f>
        <v/>
      </c>
    </row>
    <row r="165" ht="21.75" customHeight="1">
      <c r="A165" s="127" t="s">
        <v>1217</v>
      </c>
      <c r="B165" s="213" t="s">
        <v>397</v>
      </c>
      <c r="C165" s="129" t="s">
        <v>179</v>
      </c>
      <c r="D165" s="130">
        <v>30.0</v>
      </c>
      <c r="E165" s="52">
        <v>20000.0</v>
      </c>
      <c r="F165" s="49">
        <v>0.0</v>
      </c>
      <c r="G165" s="128"/>
      <c r="H165" s="73" t="str">
        <f t="shared" si="1"/>
        <v>🔴 Pendiente</v>
      </c>
      <c r="I165" s="128" t="s">
        <v>1207</v>
      </c>
      <c r="J165" s="73" t="s">
        <v>205</v>
      </c>
      <c r="K165" s="130">
        <v>2027.0</v>
      </c>
      <c r="L165" s="73" t="s">
        <v>1017</v>
      </c>
      <c r="M165" s="73" t="s">
        <v>170</v>
      </c>
      <c r="N165" s="52">
        <f t="shared" si="2"/>
        <v>20000</v>
      </c>
      <c r="O165" s="129"/>
      <c r="P165" s="214" t="str">
        <f>IF(ISBLANK(A165), "", IF(AND(LOWER(TRIM(J165))=LOWER(TRIM(PANEL!$L$2)), K165=PANEL!$I$2), MAX($P$3:P164)+1, ""))</f>
        <v/>
      </c>
    </row>
    <row r="166" ht="21.75" customHeight="1">
      <c r="A166" s="142" t="s">
        <v>1218</v>
      </c>
      <c r="B166" s="211" t="s">
        <v>411</v>
      </c>
      <c r="C166" s="145" t="s">
        <v>155</v>
      </c>
      <c r="D166" s="143">
        <v>30.0</v>
      </c>
      <c r="E166" s="43">
        <v>25000.0</v>
      </c>
      <c r="F166" s="41">
        <v>0.0</v>
      </c>
      <c r="G166" s="144"/>
      <c r="H166" s="68" t="str">
        <f t="shared" si="1"/>
        <v>🔴 Pendiente</v>
      </c>
      <c r="I166" s="144" t="s">
        <v>1207</v>
      </c>
      <c r="J166" s="68" t="s">
        <v>205</v>
      </c>
      <c r="K166" s="143">
        <v>2027.0</v>
      </c>
      <c r="L166" s="68" t="s">
        <v>1017</v>
      </c>
      <c r="M166" s="68" t="s">
        <v>170</v>
      </c>
      <c r="N166" s="43">
        <f t="shared" si="2"/>
        <v>25000</v>
      </c>
      <c r="O166" s="145"/>
      <c r="P166" s="212" t="str">
        <f>IF(ISBLANK(A166), "", IF(AND(LOWER(TRIM(J166))=LOWER(TRIM(PANEL!$L$2)), K166=PANEL!$I$2), MAX($P$3:P165)+1, ""))</f>
        <v/>
      </c>
    </row>
    <row r="167" ht="21.75" customHeight="1">
      <c r="A167" s="127" t="s">
        <v>1219</v>
      </c>
      <c r="B167" s="213" t="s">
        <v>477</v>
      </c>
      <c r="C167" s="129" t="s">
        <v>258</v>
      </c>
      <c r="D167" s="130">
        <v>30.0</v>
      </c>
      <c r="E167" s="52">
        <v>40000.0</v>
      </c>
      <c r="F167" s="49">
        <v>0.0</v>
      </c>
      <c r="G167" s="128"/>
      <c r="H167" s="73" t="str">
        <f t="shared" si="1"/>
        <v>🔴 Pendiente</v>
      </c>
      <c r="I167" s="128" t="s">
        <v>1207</v>
      </c>
      <c r="J167" s="73" t="s">
        <v>205</v>
      </c>
      <c r="K167" s="130">
        <v>2027.0</v>
      </c>
      <c r="L167" s="73" t="s">
        <v>1017</v>
      </c>
      <c r="M167" s="73" t="s">
        <v>170</v>
      </c>
      <c r="N167" s="52">
        <f t="shared" si="2"/>
        <v>40000</v>
      </c>
      <c r="O167" s="129"/>
      <c r="P167" s="214" t="str">
        <f>IF(ISBLANK(A167), "", IF(AND(LOWER(TRIM(J167))=LOWER(TRIM(PANEL!$L$2)), K167=PANEL!$I$2), MAX($P$3:P166)+1, ""))</f>
        <v/>
      </c>
    </row>
    <row r="168" ht="21.75" customHeight="1">
      <c r="A168" s="142" t="s">
        <v>1220</v>
      </c>
      <c r="B168" s="211" t="s">
        <v>364</v>
      </c>
      <c r="C168" s="145" t="s">
        <v>48</v>
      </c>
      <c r="D168" s="143">
        <v>30.0</v>
      </c>
      <c r="E168" s="43">
        <v>200000.0</v>
      </c>
      <c r="F168" s="41">
        <v>0.0</v>
      </c>
      <c r="G168" s="144"/>
      <c r="H168" s="68" t="str">
        <f t="shared" si="1"/>
        <v>🔴 Pendiente</v>
      </c>
      <c r="I168" s="144" t="s">
        <v>1207</v>
      </c>
      <c r="J168" s="68" t="s">
        <v>205</v>
      </c>
      <c r="K168" s="143">
        <v>2027.0</v>
      </c>
      <c r="L168" s="68" t="s">
        <v>1017</v>
      </c>
      <c r="M168" s="68" t="s">
        <v>170</v>
      </c>
      <c r="N168" s="43">
        <f t="shared" si="2"/>
        <v>200000</v>
      </c>
      <c r="O168" s="145"/>
      <c r="P168" s="212" t="str">
        <f>IF(ISBLANK(A168), "", IF(AND(LOWER(TRIM(J168))=LOWER(TRIM(PANEL!$L$2)), K168=PANEL!$I$2), MAX($P$3:P167)+1, ""))</f>
        <v/>
      </c>
    </row>
    <row r="169" ht="21.75" customHeight="1">
      <c r="A169" s="127" t="s">
        <v>1221</v>
      </c>
      <c r="B169" s="213" t="s">
        <v>436</v>
      </c>
      <c r="C169" s="129" t="s">
        <v>155</v>
      </c>
      <c r="D169" s="130">
        <v>30.0</v>
      </c>
      <c r="E169" s="52">
        <v>40000.0</v>
      </c>
      <c r="F169" s="49">
        <v>0.0</v>
      </c>
      <c r="G169" s="128"/>
      <c r="H169" s="73" t="str">
        <f t="shared" si="1"/>
        <v>🔴 Pendiente</v>
      </c>
      <c r="I169" s="128" t="s">
        <v>1207</v>
      </c>
      <c r="J169" s="73" t="s">
        <v>205</v>
      </c>
      <c r="K169" s="130">
        <v>2027.0</v>
      </c>
      <c r="L169" s="73" t="s">
        <v>1017</v>
      </c>
      <c r="M169" s="73" t="s">
        <v>170</v>
      </c>
      <c r="N169" s="52">
        <f t="shared" si="2"/>
        <v>40000</v>
      </c>
      <c r="O169" s="129"/>
      <c r="P169" s="214" t="str">
        <f>IF(ISBLANK(A169), "", IF(AND(LOWER(TRIM(J169))=LOWER(TRIM(PANEL!$L$2)), K169=PANEL!$I$2), MAX($P$3:P168)+1, ""))</f>
        <v/>
      </c>
    </row>
    <row r="170" ht="21.75" customHeight="1">
      <c r="A170" s="142" t="s">
        <v>1222</v>
      </c>
      <c r="B170" s="211" t="s">
        <v>1100</v>
      </c>
      <c r="C170" s="145" t="s">
        <v>179</v>
      </c>
      <c r="D170" s="143">
        <v>15.0</v>
      </c>
      <c r="E170" s="43">
        <v>177000.0</v>
      </c>
      <c r="F170" s="41">
        <v>0.0</v>
      </c>
      <c r="G170" s="144"/>
      <c r="H170" s="68" t="str">
        <f t="shared" si="1"/>
        <v>🔴 Pendiente</v>
      </c>
      <c r="I170" s="144" t="s">
        <v>1223</v>
      </c>
      <c r="J170" s="68" t="s">
        <v>212</v>
      </c>
      <c r="K170" s="143">
        <v>2027.0</v>
      </c>
      <c r="L170" s="68" t="s">
        <v>1017</v>
      </c>
      <c r="M170" s="68" t="s">
        <v>158</v>
      </c>
      <c r="N170" s="43">
        <f t="shared" si="2"/>
        <v>177000</v>
      </c>
      <c r="O170" s="145"/>
      <c r="P170" s="212" t="str">
        <f>IF(ISBLANK(A170), "", IF(AND(LOWER(TRIM(J170))=LOWER(TRIM(PANEL!$L$2)), K170=PANEL!$I$2), MAX($P$3:P169)+1, ""))</f>
        <v/>
      </c>
    </row>
    <row r="171" ht="21.75" customHeight="1">
      <c r="A171" s="127" t="s">
        <v>1224</v>
      </c>
      <c r="B171" s="213" t="s">
        <v>364</v>
      </c>
      <c r="C171" s="129" t="s">
        <v>48</v>
      </c>
      <c r="D171" s="130">
        <v>15.0</v>
      </c>
      <c r="E171" s="52">
        <v>850000.0</v>
      </c>
      <c r="F171" s="49">
        <v>0.0</v>
      </c>
      <c r="G171" s="128"/>
      <c r="H171" s="73" t="str">
        <f t="shared" si="1"/>
        <v>🔴 Pendiente</v>
      </c>
      <c r="I171" s="128" t="s">
        <v>1223</v>
      </c>
      <c r="J171" s="73" t="s">
        <v>212</v>
      </c>
      <c r="K171" s="130">
        <v>2027.0</v>
      </c>
      <c r="L171" s="73" t="s">
        <v>1017</v>
      </c>
      <c r="M171" s="73" t="s">
        <v>158</v>
      </c>
      <c r="N171" s="52">
        <f t="shared" si="2"/>
        <v>850000</v>
      </c>
      <c r="O171" s="129"/>
      <c r="P171" s="214" t="str">
        <f>IF(ISBLANK(A171), "", IF(AND(LOWER(TRIM(J171))=LOWER(TRIM(PANEL!$L$2)), K171=PANEL!$I$2), MAX($P$3:P170)+1, ""))</f>
        <v/>
      </c>
    </row>
    <row r="172" ht="21.75" customHeight="1">
      <c r="A172" s="142" t="s">
        <v>1225</v>
      </c>
      <c r="B172" s="211" t="s">
        <v>471</v>
      </c>
      <c r="C172" s="145" t="s">
        <v>179</v>
      </c>
      <c r="D172" s="143">
        <v>15.0</v>
      </c>
      <c r="E172" s="43">
        <v>120000.0</v>
      </c>
      <c r="F172" s="41">
        <v>0.0</v>
      </c>
      <c r="G172" s="144"/>
      <c r="H172" s="68" t="str">
        <f t="shared" si="1"/>
        <v>🔴 Pendiente</v>
      </c>
      <c r="I172" s="144" t="s">
        <v>1223</v>
      </c>
      <c r="J172" s="68" t="s">
        <v>212</v>
      </c>
      <c r="K172" s="143">
        <v>2027.0</v>
      </c>
      <c r="L172" s="68" t="s">
        <v>1017</v>
      </c>
      <c r="M172" s="68" t="s">
        <v>158</v>
      </c>
      <c r="N172" s="43">
        <f t="shared" si="2"/>
        <v>120000</v>
      </c>
      <c r="O172" s="145"/>
      <c r="P172" s="212" t="str">
        <f>IF(ISBLANK(A172), "", IF(AND(LOWER(TRIM(J172))=LOWER(TRIM(PANEL!$L$2)), K172=PANEL!$I$2), MAX($P$3:P171)+1, ""))</f>
        <v/>
      </c>
    </row>
    <row r="173" ht="21.75" customHeight="1">
      <c r="A173" s="127" t="s">
        <v>1226</v>
      </c>
      <c r="B173" s="213" t="s">
        <v>477</v>
      </c>
      <c r="C173" s="129" t="s">
        <v>258</v>
      </c>
      <c r="D173" s="130">
        <v>15.0</v>
      </c>
      <c r="E173" s="52">
        <v>40000.0</v>
      </c>
      <c r="F173" s="49">
        <v>0.0</v>
      </c>
      <c r="G173" s="128"/>
      <c r="H173" s="73" t="str">
        <f t="shared" si="1"/>
        <v>🔴 Pendiente</v>
      </c>
      <c r="I173" s="128" t="s">
        <v>1223</v>
      </c>
      <c r="J173" s="73" t="s">
        <v>212</v>
      </c>
      <c r="K173" s="130">
        <v>2027.0</v>
      </c>
      <c r="L173" s="73" t="s">
        <v>1017</v>
      </c>
      <c r="M173" s="73" t="s">
        <v>158</v>
      </c>
      <c r="N173" s="52">
        <f t="shared" si="2"/>
        <v>40000</v>
      </c>
      <c r="O173" s="129"/>
      <c r="P173" s="214" t="str">
        <f>IF(ISBLANK(A173), "", IF(AND(LOWER(TRIM(J173))=LOWER(TRIM(PANEL!$L$2)), K173=PANEL!$I$2), MAX($P$3:P172)+1, ""))</f>
        <v/>
      </c>
    </row>
    <row r="174" ht="21.75" customHeight="1">
      <c r="A174" s="142" t="s">
        <v>1227</v>
      </c>
      <c r="B174" s="211" t="s">
        <v>1123</v>
      </c>
      <c r="C174" s="145" t="s">
        <v>271</v>
      </c>
      <c r="D174" s="143">
        <v>15.0</v>
      </c>
      <c r="E174" s="43">
        <v>50000.0</v>
      </c>
      <c r="F174" s="41">
        <v>0.0</v>
      </c>
      <c r="G174" s="144"/>
      <c r="H174" s="68" t="str">
        <f t="shared" si="1"/>
        <v>🔴 Pendiente</v>
      </c>
      <c r="I174" s="144" t="s">
        <v>1223</v>
      </c>
      <c r="J174" s="68" t="s">
        <v>212</v>
      </c>
      <c r="K174" s="143">
        <v>2027.0</v>
      </c>
      <c r="L174" s="68" t="s">
        <v>1017</v>
      </c>
      <c r="M174" s="68" t="s">
        <v>158</v>
      </c>
      <c r="N174" s="43">
        <f t="shared" si="2"/>
        <v>50000</v>
      </c>
      <c r="O174" s="145"/>
      <c r="P174" s="212" t="str">
        <f>IF(ISBLANK(A174), "", IF(AND(LOWER(TRIM(J174))=LOWER(TRIM(PANEL!$L$2)), K174=PANEL!$I$2), MAX($P$3:P173)+1, ""))</f>
        <v/>
      </c>
    </row>
    <row r="175" ht="21.75" customHeight="1">
      <c r="A175" s="127" t="s">
        <v>1228</v>
      </c>
      <c r="B175" s="213" t="s">
        <v>436</v>
      </c>
      <c r="C175" s="129" t="s">
        <v>155</v>
      </c>
      <c r="D175" s="130">
        <v>15.0</v>
      </c>
      <c r="E175" s="52">
        <v>60000.0</v>
      </c>
      <c r="F175" s="49">
        <v>0.0</v>
      </c>
      <c r="G175" s="128"/>
      <c r="H175" s="73" t="str">
        <f t="shared" si="1"/>
        <v>🔴 Pendiente</v>
      </c>
      <c r="I175" s="128" t="s">
        <v>1223</v>
      </c>
      <c r="J175" s="73" t="s">
        <v>212</v>
      </c>
      <c r="K175" s="130">
        <v>2027.0</v>
      </c>
      <c r="L175" s="73" t="s">
        <v>1017</v>
      </c>
      <c r="M175" s="73" t="s">
        <v>170</v>
      </c>
      <c r="N175" s="52">
        <f t="shared" si="2"/>
        <v>60000</v>
      </c>
      <c r="O175" s="129"/>
      <c r="P175" s="214" t="str">
        <f>IF(ISBLANK(A175), "", IF(AND(LOWER(TRIM(J175))=LOWER(TRIM(PANEL!$L$2)), K175=PANEL!$I$2), MAX($P$3:P174)+1, ""))</f>
        <v/>
      </c>
    </row>
    <row r="176" ht="21.75" customHeight="1">
      <c r="A176" s="142" t="s">
        <v>1229</v>
      </c>
      <c r="B176" s="211" t="s">
        <v>411</v>
      </c>
      <c r="C176" s="145" t="s">
        <v>155</v>
      </c>
      <c r="D176" s="143">
        <v>15.0</v>
      </c>
      <c r="E176" s="43">
        <v>35000.0</v>
      </c>
      <c r="F176" s="41">
        <v>0.0</v>
      </c>
      <c r="G176" s="144"/>
      <c r="H176" s="68" t="str">
        <f t="shared" si="1"/>
        <v>🔴 Pendiente</v>
      </c>
      <c r="I176" s="144" t="s">
        <v>1223</v>
      </c>
      <c r="J176" s="68" t="s">
        <v>212</v>
      </c>
      <c r="K176" s="143">
        <v>2027.0</v>
      </c>
      <c r="L176" s="68" t="s">
        <v>1017</v>
      </c>
      <c r="M176" s="68" t="s">
        <v>158</v>
      </c>
      <c r="N176" s="43">
        <f t="shared" si="2"/>
        <v>35000</v>
      </c>
      <c r="O176" s="145"/>
      <c r="P176" s="212" t="str">
        <f>IF(ISBLANK(A176), "", IF(AND(LOWER(TRIM(J176))=LOWER(TRIM(PANEL!$L$2)), K176=PANEL!$I$2), MAX($P$3:P175)+1, ""))</f>
        <v/>
      </c>
    </row>
    <row r="177" ht="21.75" customHeight="1">
      <c r="A177" s="127" t="s">
        <v>1230</v>
      </c>
      <c r="B177" s="213" t="s">
        <v>333</v>
      </c>
      <c r="C177" s="129" t="s">
        <v>139</v>
      </c>
      <c r="D177" s="130">
        <v>15.0</v>
      </c>
      <c r="E177" s="52">
        <v>10000.0</v>
      </c>
      <c r="F177" s="49">
        <v>0.0</v>
      </c>
      <c r="G177" s="128"/>
      <c r="H177" s="73" t="str">
        <f t="shared" si="1"/>
        <v>🔴 Pendiente</v>
      </c>
      <c r="I177" s="128" t="s">
        <v>1223</v>
      </c>
      <c r="J177" s="73" t="s">
        <v>212</v>
      </c>
      <c r="K177" s="130">
        <v>2027.0</v>
      </c>
      <c r="L177" s="73" t="s">
        <v>1017</v>
      </c>
      <c r="M177" s="73" t="s">
        <v>158</v>
      </c>
      <c r="N177" s="52">
        <f t="shared" si="2"/>
        <v>10000</v>
      </c>
      <c r="O177" s="129"/>
      <c r="P177" s="214" t="str">
        <f>IF(ISBLANK(A177), "", IF(AND(LOWER(TRIM(J177))=LOWER(TRIM(PANEL!$L$2)), K177=PANEL!$I$2), MAX($P$3:P176)+1, ""))</f>
        <v/>
      </c>
    </row>
    <row r="178" ht="21.75" customHeight="1">
      <c r="A178" s="142" t="s">
        <v>1231</v>
      </c>
      <c r="B178" s="211" t="s">
        <v>400</v>
      </c>
      <c r="C178" s="145" t="s">
        <v>179</v>
      </c>
      <c r="D178" s="143">
        <v>15.0</v>
      </c>
      <c r="E178" s="43">
        <v>39000.0</v>
      </c>
      <c r="F178" s="41">
        <v>0.0</v>
      </c>
      <c r="G178" s="144"/>
      <c r="H178" s="68" t="str">
        <f t="shared" si="1"/>
        <v>🔴 Pendiente</v>
      </c>
      <c r="I178" s="144" t="s">
        <v>1223</v>
      </c>
      <c r="J178" s="68" t="s">
        <v>212</v>
      </c>
      <c r="K178" s="143">
        <v>2027.0</v>
      </c>
      <c r="L178" s="68" t="s">
        <v>1017</v>
      </c>
      <c r="M178" s="68" t="s">
        <v>170</v>
      </c>
      <c r="N178" s="43">
        <f t="shared" si="2"/>
        <v>39000</v>
      </c>
      <c r="O178" s="145"/>
      <c r="P178" s="212" t="str">
        <f>IF(ISBLANK(A178), "", IF(AND(LOWER(TRIM(J178))=LOWER(TRIM(PANEL!$L$2)), K178=PANEL!$I$2), MAX($P$3:P177)+1, ""))</f>
        <v/>
      </c>
    </row>
    <row r="179" ht="21.75" customHeight="1">
      <c r="A179" s="127" t="s">
        <v>1232</v>
      </c>
      <c r="B179" s="213" t="s">
        <v>50</v>
      </c>
      <c r="C179" s="129" t="s">
        <v>173</v>
      </c>
      <c r="D179" s="130">
        <v>30.0</v>
      </c>
      <c r="E179" s="52">
        <v>900000.0</v>
      </c>
      <c r="F179" s="49">
        <v>0.0</v>
      </c>
      <c r="G179" s="128"/>
      <c r="H179" s="73" t="str">
        <f t="shared" si="1"/>
        <v>🔴 Pendiente</v>
      </c>
      <c r="I179" s="128" t="s">
        <v>1223</v>
      </c>
      <c r="J179" s="73" t="s">
        <v>212</v>
      </c>
      <c r="K179" s="130">
        <v>2027.0</v>
      </c>
      <c r="L179" s="73" t="s">
        <v>1017</v>
      </c>
      <c r="M179" s="73" t="s">
        <v>170</v>
      </c>
      <c r="N179" s="52">
        <f t="shared" si="2"/>
        <v>900000</v>
      </c>
      <c r="O179" s="129"/>
      <c r="P179" s="214" t="str">
        <f>IF(ISBLANK(A179), "", IF(AND(LOWER(TRIM(J179))=LOWER(TRIM(PANEL!$L$2)), K179=PANEL!$I$2), MAX($P$3:P178)+1, ""))</f>
        <v/>
      </c>
    </row>
    <row r="180" ht="21.75" customHeight="1">
      <c r="A180" s="142" t="s">
        <v>1233</v>
      </c>
      <c r="B180" s="211" t="s">
        <v>397</v>
      </c>
      <c r="C180" s="145" t="s">
        <v>179</v>
      </c>
      <c r="D180" s="143">
        <v>30.0</v>
      </c>
      <c r="E180" s="43">
        <v>20000.0</v>
      </c>
      <c r="F180" s="41">
        <v>0.0</v>
      </c>
      <c r="G180" s="144"/>
      <c r="H180" s="68" t="str">
        <f t="shared" si="1"/>
        <v>🔴 Pendiente</v>
      </c>
      <c r="I180" s="144" t="s">
        <v>1223</v>
      </c>
      <c r="J180" s="68" t="s">
        <v>212</v>
      </c>
      <c r="K180" s="143">
        <v>2027.0</v>
      </c>
      <c r="L180" s="68" t="s">
        <v>1017</v>
      </c>
      <c r="M180" s="68" t="s">
        <v>170</v>
      </c>
      <c r="N180" s="43">
        <f t="shared" si="2"/>
        <v>20000</v>
      </c>
      <c r="O180" s="145"/>
      <c r="P180" s="212" t="str">
        <f>IF(ISBLANK(A180), "", IF(AND(LOWER(TRIM(J180))=LOWER(TRIM(PANEL!$L$2)), K180=PANEL!$I$2), MAX($P$3:P179)+1, ""))</f>
        <v/>
      </c>
    </row>
    <row r="181" ht="21.75" customHeight="1">
      <c r="A181" s="127" t="s">
        <v>1234</v>
      </c>
      <c r="B181" s="213" t="s">
        <v>411</v>
      </c>
      <c r="C181" s="129" t="s">
        <v>155</v>
      </c>
      <c r="D181" s="130">
        <v>30.0</v>
      </c>
      <c r="E181" s="52">
        <v>25000.0</v>
      </c>
      <c r="F181" s="49">
        <v>0.0</v>
      </c>
      <c r="G181" s="128"/>
      <c r="H181" s="73" t="str">
        <f t="shared" si="1"/>
        <v>🔴 Pendiente</v>
      </c>
      <c r="I181" s="128" t="s">
        <v>1223</v>
      </c>
      <c r="J181" s="73" t="s">
        <v>212</v>
      </c>
      <c r="K181" s="130">
        <v>2027.0</v>
      </c>
      <c r="L181" s="73" t="s">
        <v>1017</v>
      </c>
      <c r="M181" s="73" t="s">
        <v>170</v>
      </c>
      <c r="N181" s="52">
        <f t="shared" si="2"/>
        <v>25000</v>
      </c>
      <c r="O181" s="129"/>
      <c r="P181" s="214" t="str">
        <f>IF(ISBLANK(A181), "", IF(AND(LOWER(TRIM(J181))=LOWER(TRIM(PANEL!$L$2)), K181=PANEL!$I$2), MAX($P$3:P180)+1, ""))</f>
        <v/>
      </c>
    </row>
    <row r="182" ht="21.75" customHeight="1">
      <c r="A182" s="142" t="s">
        <v>1235</v>
      </c>
      <c r="B182" s="211" t="s">
        <v>477</v>
      </c>
      <c r="C182" s="145" t="s">
        <v>258</v>
      </c>
      <c r="D182" s="143">
        <v>30.0</v>
      </c>
      <c r="E182" s="43">
        <v>40000.0</v>
      </c>
      <c r="F182" s="41">
        <v>0.0</v>
      </c>
      <c r="G182" s="144"/>
      <c r="H182" s="68" t="str">
        <f t="shared" si="1"/>
        <v>🔴 Pendiente</v>
      </c>
      <c r="I182" s="144" t="s">
        <v>1223</v>
      </c>
      <c r="J182" s="68" t="s">
        <v>212</v>
      </c>
      <c r="K182" s="143">
        <v>2027.0</v>
      </c>
      <c r="L182" s="68" t="s">
        <v>1017</v>
      </c>
      <c r="M182" s="68" t="s">
        <v>170</v>
      </c>
      <c r="N182" s="43">
        <f t="shared" si="2"/>
        <v>40000</v>
      </c>
      <c r="O182" s="145"/>
      <c r="P182" s="212" t="str">
        <f>IF(ISBLANK(A182), "", IF(AND(LOWER(TRIM(J182))=LOWER(TRIM(PANEL!$L$2)), K182=PANEL!$I$2), MAX($P$3:P181)+1, ""))</f>
        <v/>
      </c>
    </row>
    <row r="183" ht="21.75" customHeight="1">
      <c r="A183" s="127" t="s">
        <v>1236</v>
      </c>
      <c r="B183" s="213" t="s">
        <v>364</v>
      </c>
      <c r="C183" s="129" t="s">
        <v>48</v>
      </c>
      <c r="D183" s="130">
        <v>30.0</v>
      </c>
      <c r="E183" s="52">
        <v>200000.0</v>
      </c>
      <c r="F183" s="49">
        <v>0.0</v>
      </c>
      <c r="G183" s="128"/>
      <c r="H183" s="73" t="str">
        <f t="shared" si="1"/>
        <v>🔴 Pendiente</v>
      </c>
      <c r="I183" s="128" t="s">
        <v>1223</v>
      </c>
      <c r="J183" s="73" t="s">
        <v>212</v>
      </c>
      <c r="K183" s="130">
        <v>2027.0</v>
      </c>
      <c r="L183" s="73" t="s">
        <v>1017</v>
      </c>
      <c r="M183" s="73" t="s">
        <v>170</v>
      </c>
      <c r="N183" s="52">
        <f t="shared" si="2"/>
        <v>200000</v>
      </c>
      <c r="O183" s="129"/>
      <c r="P183" s="214" t="str">
        <f>IF(ISBLANK(A183), "", IF(AND(LOWER(TRIM(J183))=LOWER(TRIM(PANEL!$L$2)), K183=PANEL!$I$2), MAX($P$3:P182)+1, ""))</f>
        <v/>
      </c>
    </row>
    <row r="184" ht="21.75" customHeight="1">
      <c r="A184" s="142" t="s">
        <v>1237</v>
      </c>
      <c r="B184" s="211" t="s">
        <v>436</v>
      </c>
      <c r="C184" s="145" t="s">
        <v>155</v>
      </c>
      <c r="D184" s="143">
        <v>30.0</v>
      </c>
      <c r="E184" s="43">
        <v>40000.0</v>
      </c>
      <c r="F184" s="41">
        <v>0.0</v>
      </c>
      <c r="G184" s="144"/>
      <c r="H184" s="68" t="str">
        <f t="shared" si="1"/>
        <v>🔴 Pendiente</v>
      </c>
      <c r="I184" s="144" t="s">
        <v>1223</v>
      </c>
      <c r="J184" s="68" t="s">
        <v>212</v>
      </c>
      <c r="K184" s="143">
        <v>2027.0</v>
      </c>
      <c r="L184" s="68" t="s">
        <v>1017</v>
      </c>
      <c r="M184" s="68" t="s">
        <v>170</v>
      </c>
      <c r="N184" s="43">
        <f t="shared" si="2"/>
        <v>40000</v>
      </c>
      <c r="O184" s="145"/>
      <c r="P184" s="212" t="str">
        <f>IF(ISBLANK(A184), "", IF(AND(LOWER(TRIM(J184))=LOWER(TRIM(PANEL!$L$2)), K184=PANEL!$I$2), MAX($P$3:P183)+1, ""))</f>
        <v/>
      </c>
    </row>
    <row r="185" ht="21.75" customHeight="1">
      <c r="A185" s="127" t="s">
        <v>1238</v>
      </c>
      <c r="B185" s="213" t="s">
        <v>1100</v>
      </c>
      <c r="C185" s="129" t="s">
        <v>179</v>
      </c>
      <c r="D185" s="130">
        <v>15.0</v>
      </c>
      <c r="E185" s="52">
        <v>177000.0</v>
      </c>
      <c r="F185" s="49">
        <v>0.0</v>
      </c>
      <c r="G185" s="128"/>
      <c r="H185" s="73" t="str">
        <f t="shared" si="1"/>
        <v>🔴 Pendiente</v>
      </c>
      <c r="I185" s="128" t="s">
        <v>1239</v>
      </c>
      <c r="J185" s="73" t="s">
        <v>219</v>
      </c>
      <c r="K185" s="130">
        <v>2027.0</v>
      </c>
      <c r="L185" s="73" t="s">
        <v>1017</v>
      </c>
      <c r="M185" s="73" t="s">
        <v>158</v>
      </c>
      <c r="N185" s="52">
        <f t="shared" si="2"/>
        <v>177000</v>
      </c>
      <c r="O185" s="129"/>
      <c r="P185" s="214" t="str">
        <f>IF(ISBLANK(A185), "", IF(AND(LOWER(TRIM(J185))=LOWER(TRIM(PANEL!$L$2)), K185=PANEL!$I$2), MAX($P$3:P184)+1, ""))</f>
        <v/>
      </c>
    </row>
    <row r="186" ht="21.75" customHeight="1">
      <c r="A186" s="142" t="s">
        <v>1240</v>
      </c>
      <c r="B186" s="211" t="s">
        <v>364</v>
      </c>
      <c r="C186" s="145" t="s">
        <v>48</v>
      </c>
      <c r="D186" s="143">
        <v>15.0</v>
      </c>
      <c r="E186" s="43">
        <v>850000.0</v>
      </c>
      <c r="F186" s="41">
        <v>0.0</v>
      </c>
      <c r="G186" s="144"/>
      <c r="H186" s="68" t="str">
        <f t="shared" si="1"/>
        <v>🔴 Pendiente</v>
      </c>
      <c r="I186" s="144" t="s">
        <v>1239</v>
      </c>
      <c r="J186" s="68" t="s">
        <v>219</v>
      </c>
      <c r="K186" s="143">
        <v>2027.0</v>
      </c>
      <c r="L186" s="68" t="s">
        <v>1017</v>
      </c>
      <c r="M186" s="68" t="s">
        <v>158</v>
      </c>
      <c r="N186" s="43">
        <f t="shared" si="2"/>
        <v>850000</v>
      </c>
      <c r="O186" s="145"/>
      <c r="P186" s="212" t="str">
        <f>IF(ISBLANK(A186), "", IF(AND(LOWER(TRIM(J186))=LOWER(TRIM(PANEL!$L$2)), K186=PANEL!$I$2), MAX($P$3:P185)+1, ""))</f>
        <v/>
      </c>
    </row>
    <row r="187" ht="21.75" customHeight="1">
      <c r="A187" s="127" t="s">
        <v>1241</v>
      </c>
      <c r="B187" s="213" t="s">
        <v>471</v>
      </c>
      <c r="C187" s="129" t="s">
        <v>179</v>
      </c>
      <c r="D187" s="130">
        <v>15.0</v>
      </c>
      <c r="E187" s="52">
        <v>120000.0</v>
      </c>
      <c r="F187" s="49">
        <v>0.0</v>
      </c>
      <c r="G187" s="128"/>
      <c r="H187" s="73" t="str">
        <f t="shared" si="1"/>
        <v>🔴 Pendiente</v>
      </c>
      <c r="I187" s="128" t="s">
        <v>1239</v>
      </c>
      <c r="J187" s="73" t="s">
        <v>219</v>
      </c>
      <c r="K187" s="130">
        <v>2027.0</v>
      </c>
      <c r="L187" s="73" t="s">
        <v>1017</v>
      </c>
      <c r="M187" s="73" t="s">
        <v>158</v>
      </c>
      <c r="N187" s="52">
        <f t="shared" si="2"/>
        <v>120000</v>
      </c>
      <c r="O187" s="129"/>
      <c r="P187" s="214" t="str">
        <f>IF(ISBLANK(A187), "", IF(AND(LOWER(TRIM(J187))=LOWER(TRIM(PANEL!$L$2)), K187=PANEL!$I$2), MAX($P$3:P186)+1, ""))</f>
        <v/>
      </c>
    </row>
    <row r="188" ht="21.75" customHeight="1">
      <c r="A188" s="142" t="s">
        <v>1242</v>
      </c>
      <c r="B188" s="211" t="s">
        <v>477</v>
      </c>
      <c r="C188" s="145" t="s">
        <v>258</v>
      </c>
      <c r="D188" s="143">
        <v>15.0</v>
      </c>
      <c r="E188" s="43">
        <v>40000.0</v>
      </c>
      <c r="F188" s="41">
        <v>0.0</v>
      </c>
      <c r="G188" s="144"/>
      <c r="H188" s="68" t="str">
        <f t="shared" si="1"/>
        <v>🔴 Pendiente</v>
      </c>
      <c r="I188" s="144" t="s">
        <v>1239</v>
      </c>
      <c r="J188" s="68" t="s">
        <v>219</v>
      </c>
      <c r="K188" s="143">
        <v>2027.0</v>
      </c>
      <c r="L188" s="68" t="s">
        <v>1017</v>
      </c>
      <c r="M188" s="68" t="s">
        <v>158</v>
      </c>
      <c r="N188" s="43">
        <f t="shared" si="2"/>
        <v>40000</v>
      </c>
      <c r="O188" s="145"/>
      <c r="P188" s="212" t="str">
        <f>IF(ISBLANK(A188), "", IF(AND(LOWER(TRIM(J188))=LOWER(TRIM(PANEL!$L$2)), K188=PANEL!$I$2), MAX($P$3:P187)+1, ""))</f>
        <v/>
      </c>
    </row>
    <row r="189" ht="21.75" customHeight="1">
      <c r="A189" s="127" t="s">
        <v>1243</v>
      </c>
      <c r="B189" s="213" t="s">
        <v>1123</v>
      </c>
      <c r="C189" s="129" t="s">
        <v>271</v>
      </c>
      <c r="D189" s="130">
        <v>15.0</v>
      </c>
      <c r="E189" s="52">
        <v>50000.0</v>
      </c>
      <c r="F189" s="49">
        <v>0.0</v>
      </c>
      <c r="G189" s="128"/>
      <c r="H189" s="73" t="str">
        <f t="shared" si="1"/>
        <v>🔴 Pendiente</v>
      </c>
      <c r="I189" s="128" t="s">
        <v>1239</v>
      </c>
      <c r="J189" s="73" t="s">
        <v>219</v>
      </c>
      <c r="K189" s="130">
        <v>2027.0</v>
      </c>
      <c r="L189" s="73" t="s">
        <v>1017</v>
      </c>
      <c r="M189" s="73" t="s">
        <v>158</v>
      </c>
      <c r="N189" s="52">
        <f t="shared" si="2"/>
        <v>50000</v>
      </c>
      <c r="O189" s="129"/>
      <c r="P189" s="214" t="str">
        <f>IF(ISBLANK(A189), "", IF(AND(LOWER(TRIM(J189))=LOWER(TRIM(PANEL!$L$2)), K189=PANEL!$I$2), MAX($P$3:P188)+1, ""))</f>
        <v/>
      </c>
    </row>
    <row r="190" ht="21.75" customHeight="1">
      <c r="A190" s="142"/>
      <c r="B190" s="211"/>
      <c r="C190" s="145"/>
      <c r="D190" s="143"/>
      <c r="E190" s="43"/>
      <c r="F190" s="41"/>
      <c r="G190" s="144"/>
      <c r="H190" s="68" t="str">
        <f t="shared" si="1"/>
        <v/>
      </c>
      <c r="I190" s="144"/>
      <c r="J190" s="68"/>
      <c r="K190" s="143"/>
      <c r="L190" s="68"/>
      <c r="M190" s="68"/>
      <c r="N190" s="43" t="str">
        <f t="shared" si="2"/>
        <v/>
      </c>
      <c r="O190" s="145"/>
      <c r="P190" s="212" t="str">
        <f>IF(ISBLANK(A190), "", IF(AND(LOWER(TRIM(J190))=LOWER(TRIM(PANEL!$L$2)), K190=PANEL!$I$2), MAX($P$3:P189)+1, ""))</f>
        <v/>
      </c>
    </row>
    <row r="191" ht="21.75" customHeight="1">
      <c r="A191" s="127"/>
      <c r="B191" s="213"/>
      <c r="C191" s="129"/>
      <c r="D191" s="130"/>
      <c r="E191" s="52"/>
      <c r="F191" s="49"/>
      <c r="G191" s="128"/>
      <c r="H191" s="73" t="str">
        <f t="shared" si="1"/>
        <v/>
      </c>
      <c r="I191" s="128"/>
      <c r="J191" s="73"/>
      <c r="K191" s="130"/>
      <c r="L191" s="73"/>
      <c r="M191" s="73"/>
      <c r="N191" s="52" t="str">
        <f t="shared" si="2"/>
        <v/>
      </c>
      <c r="O191" s="129"/>
      <c r="P191" s="214" t="str">
        <f>IF(ISBLANK(A191), "", IF(AND(LOWER(TRIM(J191))=LOWER(TRIM(PANEL!$L$2)), K191=PANEL!$I$2), MAX($P$3:P190)+1, ""))</f>
        <v/>
      </c>
    </row>
    <row r="192" ht="21.75" customHeight="1">
      <c r="A192" s="142"/>
      <c r="B192" s="211"/>
      <c r="C192" s="145"/>
      <c r="D192" s="143"/>
      <c r="E192" s="43"/>
      <c r="F192" s="41"/>
      <c r="G192" s="144"/>
      <c r="H192" s="68" t="str">
        <f t="shared" si="1"/>
        <v/>
      </c>
      <c r="I192" s="144"/>
      <c r="J192" s="68"/>
      <c r="K192" s="143"/>
      <c r="L192" s="68"/>
      <c r="M192" s="68"/>
      <c r="N192" s="43" t="str">
        <f t="shared" si="2"/>
        <v/>
      </c>
      <c r="O192" s="145"/>
      <c r="P192" s="212" t="str">
        <f>IF(ISBLANK(A192), "", IF(AND(LOWER(TRIM(J192))=LOWER(TRIM(PANEL!$L$2)), K192=PANEL!$I$2), MAX($P$3:P191)+1, ""))</f>
        <v/>
      </c>
    </row>
    <row r="193" ht="21.75" customHeight="1">
      <c r="A193" s="127"/>
      <c r="B193" s="213"/>
      <c r="C193" s="129"/>
      <c r="D193" s="130"/>
      <c r="E193" s="52"/>
      <c r="F193" s="49"/>
      <c r="G193" s="128"/>
      <c r="H193" s="73" t="str">
        <f t="shared" si="1"/>
        <v/>
      </c>
      <c r="I193" s="128"/>
      <c r="J193" s="73"/>
      <c r="K193" s="130"/>
      <c r="L193" s="73"/>
      <c r="M193" s="73"/>
      <c r="N193" s="52" t="str">
        <f t="shared" si="2"/>
        <v/>
      </c>
      <c r="O193" s="129"/>
      <c r="P193" s="214" t="str">
        <f>IF(ISBLANK(A193), "", IF(AND(LOWER(TRIM(J193))=LOWER(TRIM(PANEL!$L$2)), K193=PANEL!$I$2), MAX($P$3:P192)+1, ""))</f>
        <v/>
      </c>
    </row>
    <row r="194" ht="21.75" customHeight="1">
      <c r="A194" s="142"/>
      <c r="B194" s="211"/>
      <c r="C194" s="145"/>
      <c r="D194" s="143"/>
      <c r="E194" s="43"/>
      <c r="F194" s="41"/>
      <c r="G194" s="144"/>
      <c r="H194" s="68" t="str">
        <f t="shared" si="1"/>
        <v/>
      </c>
      <c r="I194" s="144"/>
      <c r="J194" s="68"/>
      <c r="K194" s="143"/>
      <c r="L194" s="68"/>
      <c r="M194" s="68"/>
      <c r="N194" s="43" t="str">
        <f t="shared" si="2"/>
        <v/>
      </c>
      <c r="O194" s="145"/>
      <c r="P194" s="212" t="str">
        <f>IF(ISBLANK(A194), "", IF(AND(LOWER(TRIM(J194))=LOWER(TRIM(PANEL!$L$2)), K194=PANEL!$I$2), MAX($P$3:P193)+1, ""))</f>
        <v/>
      </c>
    </row>
    <row r="195" ht="21.75" customHeight="1">
      <c r="A195" s="127"/>
      <c r="B195" s="213"/>
      <c r="C195" s="129"/>
      <c r="D195" s="130"/>
      <c r="E195" s="52"/>
      <c r="F195" s="49"/>
      <c r="G195" s="128"/>
      <c r="H195" s="73" t="str">
        <f t="shared" si="1"/>
        <v/>
      </c>
      <c r="I195" s="128"/>
      <c r="J195" s="73"/>
      <c r="K195" s="130"/>
      <c r="L195" s="73"/>
      <c r="M195" s="73"/>
      <c r="N195" s="52" t="str">
        <f t="shared" si="2"/>
        <v/>
      </c>
      <c r="O195" s="129"/>
      <c r="P195" s="214" t="str">
        <f>IF(ISBLANK(A195), "", IF(AND(LOWER(TRIM(J195))=LOWER(TRIM(PANEL!$L$2)), K195=PANEL!$I$2), MAX($P$3:P194)+1, ""))</f>
        <v/>
      </c>
    </row>
    <row r="196" ht="21.75" customHeight="1">
      <c r="A196" s="142"/>
      <c r="B196" s="211"/>
      <c r="C196" s="145"/>
      <c r="D196" s="143"/>
      <c r="E196" s="43"/>
      <c r="F196" s="41"/>
      <c r="G196" s="144"/>
      <c r="H196" s="68" t="str">
        <f t="shared" si="1"/>
        <v/>
      </c>
      <c r="I196" s="144"/>
      <c r="J196" s="68"/>
      <c r="K196" s="143"/>
      <c r="L196" s="68"/>
      <c r="M196" s="68"/>
      <c r="N196" s="43" t="str">
        <f t="shared" si="2"/>
        <v/>
      </c>
      <c r="O196" s="145"/>
      <c r="P196" s="212" t="str">
        <f>IF(ISBLANK(A196), "", IF(AND(LOWER(TRIM(J196))=LOWER(TRIM(PANEL!$L$2)), K196=PANEL!$I$2), MAX($P$3:P195)+1, ""))</f>
        <v/>
      </c>
    </row>
    <row r="197" ht="21.75" customHeight="1">
      <c r="A197" s="127"/>
      <c r="B197" s="213"/>
      <c r="C197" s="129"/>
      <c r="D197" s="130"/>
      <c r="E197" s="52"/>
      <c r="F197" s="49"/>
      <c r="G197" s="128"/>
      <c r="H197" s="73" t="str">
        <f t="shared" si="1"/>
        <v/>
      </c>
      <c r="I197" s="128"/>
      <c r="J197" s="73"/>
      <c r="K197" s="130"/>
      <c r="L197" s="73"/>
      <c r="M197" s="73"/>
      <c r="N197" s="52" t="str">
        <f t="shared" si="2"/>
        <v/>
      </c>
      <c r="O197" s="129"/>
      <c r="P197" s="214" t="str">
        <f>IF(ISBLANK(A197), "", IF(AND(LOWER(TRIM(J197))=LOWER(TRIM(PANEL!$L$2)), K197=PANEL!$I$2), MAX($P$3:P196)+1, ""))</f>
        <v/>
      </c>
    </row>
    <row r="198" ht="21.75" customHeight="1">
      <c r="A198" s="142"/>
      <c r="B198" s="211"/>
      <c r="C198" s="145"/>
      <c r="D198" s="143"/>
      <c r="E198" s="43"/>
      <c r="F198" s="41"/>
      <c r="G198" s="144"/>
      <c r="H198" s="68" t="str">
        <f t="shared" si="1"/>
        <v/>
      </c>
      <c r="I198" s="144"/>
      <c r="J198" s="68"/>
      <c r="K198" s="143"/>
      <c r="L198" s="68"/>
      <c r="M198" s="68"/>
      <c r="N198" s="43" t="str">
        <f t="shared" si="2"/>
        <v/>
      </c>
      <c r="O198" s="145"/>
      <c r="P198" s="212" t="str">
        <f>IF(ISBLANK(A198), "", IF(AND(LOWER(TRIM(J198))=LOWER(TRIM(PANEL!$L$2)), K198=PANEL!$I$2), MAX($P$3:P197)+1, ""))</f>
        <v/>
      </c>
    </row>
    <row r="199" ht="21.75" customHeight="1">
      <c r="A199" s="127"/>
      <c r="B199" s="213"/>
      <c r="C199" s="129"/>
      <c r="D199" s="130"/>
      <c r="E199" s="52"/>
      <c r="F199" s="49"/>
      <c r="G199" s="128"/>
      <c r="H199" s="73" t="str">
        <f t="shared" si="1"/>
        <v/>
      </c>
      <c r="I199" s="128"/>
      <c r="J199" s="73"/>
      <c r="K199" s="130"/>
      <c r="L199" s="73"/>
      <c r="M199" s="73"/>
      <c r="N199" s="52" t="str">
        <f t="shared" si="2"/>
        <v/>
      </c>
      <c r="O199" s="129"/>
      <c r="P199" s="214" t="str">
        <f>IF(ISBLANK(A199), "", IF(AND(LOWER(TRIM(J199))=LOWER(TRIM(PANEL!$L$2)), K199=PANEL!$I$2), MAX($P$3:P198)+1, ""))</f>
        <v/>
      </c>
    </row>
    <row r="200" ht="21.75" customHeight="1">
      <c r="A200" s="142"/>
      <c r="B200" s="211"/>
      <c r="C200" s="145"/>
      <c r="D200" s="143"/>
      <c r="E200" s="43"/>
      <c r="F200" s="41"/>
      <c r="G200" s="144"/>
      <c r="H200" s="68" t="str">
        <f t="shared" si="1"/>
        <v/>
      </c>
      <c r="I200" s="144"/>
      <c r="J200" s="68"/>
      <c r="K200" s="143"/>
      <c r="L200" s="68"/>
      <c r="M200" s="68"/>
      <c r="N200" s="43" t="str">
        <f t="shared" si="2"/>
        <v/>
      </c>
      <c r="O200" s="145"/>
      <c r="P200" s="212" t="str">
        <f>IF(ISBLANK(A200), "", IF(AND(LOWER(TRIM(J200))=LOWER(TRIM(PANEL!$L$2)), K200=PANEL!$I$2), MAX($P$3:P199)+1, ""))</f>
        <v/>
      </c>
    </row>
    <row r="201" ht="21.75" customHeight="1">
      <c r="A201" s="127"/>
      <c r="B201" s="213"/>
      <c r="C201" s="129"/>
      <c r="D201" s="130"/>
      <c r="E201" s="52"/>
      <c r="F201" s="49"/>
      <c r="G201" s="128"/>
      <c r="H201" s="73" t="str">
        <f t="shared" si="1"/>
        <v/>
      </c>
      <c r="I201" s="128"/>
      <c r="J201" s="73"/>
      <c r="K201" s="130"/>
      <c r="L201" s="73"/>
      <c r="M201" s="73"/>
      <c r="N201" s="52" t="str">
        <f t="shared" si="2"/>
        <v/>
      </c>
      <c r="O201" s="129"/>
      <c r="P201" s="214" t="str">
        <f>IF(ISBLANK(A201), "", IF(AND(LOWER(TRIM(J201))=LOWER(TRIM(PANEL!$L$2)), K201=PANEL!$I$2), MAX($P$3:P200)+1, ""))</f>
        <v/>
      </c>
    </row>
    <row r="202" ht="21.75" customHeight="1">
      <c r="A202" s="142"/>
      <c r="B202" s="211"/>
      <c r="C202" s="145"/>
      <c r="D202" s="143"/>
      <c r="E202" s="43"/>
      <c r="F202" s="41"/>
      <c r="G202" s="144"/>
      <c r="H202" s="68" t="str">
        <f t="shared" si="1"/>
        <v/>
      </c>
      <c r="I202" s="144"/>
      <c r="J202" s="68"/>
      <c r="K202" s="143"/>
      <c r="L202" s="68"/>
      <c r="M202" s="68"/>
      <c r="N202" s="43" t="str">
        <f t="shared" si="2"/>
        <v/>
      </c>
      <c r="O202" s="145"/>
      <c r="P202" s="212" t="str">
        <f>IF(ISBLANK(A202), "", IF(AND(LOWER(TRIM(J202))=LOWER(TRIM(PANEL!$L$2)), K202=PANEL!$I$2), MAX($P$3:P201)+1, ""))</f>
        <v/>
      </c>
    </row>
    <row r="203" ht="21.75" customHeight="1">
      <c r="A203" s="127"/>
      <c r="B203" s="213"/>
      <c r="C203" s="129"/>
      <c r="D203" s="130"/>
      <c r="E203" s="52"/>
      <c r="F203" s="49"/>
      <c r="G203" s="128"/>
      <c r="H203" s="73" t="str">
        <f t="shared" si="1"/>
        <v/>
      </c>
      <c r="I203" s="128"/>
      <c r="J203" s="73"/>
      <c r="K203" s="130"/>
      <c r="L203" s="73"/>
      <c r="M203" s="73"/>
      <c r="N203" s="52" t="str">
        <f t="shared" si="2"/>
        <v/>
      </c>
      <c r="O203" s="129"/>
      <c r="P203" s="214" t="str">
        <f>IF(ISBLANK(A203), "", IF(AND(LOWER(TRIM(J203))=LOWER(TRIM(PANEL!$L$2)), K203=PANEL!$I$2), MAX($P$3:P202)+1, ""))</f>
        <v/>
      </c>
    </row>
    <row r="204" ht="21.75" customHeight="1">
      <c r="A204" s="132"/>
      <c r="B204" s="196"/>
      <c r="C204" s="134"/>
      <c r="D204" s="136"/>
      <c r="E204" s="135"/>
      <c r="F204" s="81"/>
      <c r="G204" s="133"/>
      <c r="H204" s="83" t="str">
        <f t="shared" si="1"/>
        <v/>
      </c>
      <c r="I204" s="133"/>
      <c r="J204" s="83"/>
      <c r="K204" s="136"/>
      <c r="L204" s="83"/>
      <c r="M204" s="83"/>
      <c r="N204" s="135" t="str">
        <f t="shared" si="2"/>
        <v/>
      </c>
      <c r="O204" s="134"/>
      <c r="P204" s="219" t="str">
        <f>IF(ISBLANK(A204), "", IF(AND(LOWER(TRIM(J204))=LOWER(TRIM(PANEL!$L$2)), K204=PANEL!$I$2), MAX($P$3:P203)+1, ""))</f>
        <v/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conditionalFormatting sqref="H4:H204">
    <cfRule type="expression" dxfId="0" priority="1">
      <formula>ISNUMBER(SEARCH("🟢", H4))</formula>
    </cfRule>
  </conditionalFormatting>
  <conditionalFormatting sqref="H4:H204">
    <cfRule type="expression" dxfId="0" priority="2">
      <formula>ISNUMBER(SEARCH("✅", H4))</formula>
    </cfRule>
  </conditionalFormatting>
  <conditionalFormatting sqref="H4:H204">
    <cfRule type="expression" dxfId="1" priority="3">
      <formula>ISNUMBER(SEARCH("🔴", H4))</formula>
    </cfRule>
  </conditionalFormatting>
  <conditionalFormatting sqref="H4:H204">
    <cfRule type="expression" dxfId="1" priority="4">
      <formula>ISNUMBER(SEARCH("🚨", H4))</formula>
    </cfRule>
  </conditionalFormatting>
  <conditionalFormatting sqref="H4:H204">
    <cfRule type="expression" dxfId="2" priority="5">
      <formula>ISNUMBER(SEARCH("🟡", H4))</formula>
    </cfRule>
  </conditionalFormatting>
  <conditionalFormatting sqref="H4:H204">
    <cfRule type="expression" dxfId="2" priority="6">
      <formula>ISNUMBER(SEARCH("⚠️", H4))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3.0"/>
    <col customWidth="1" min="2" max="3" width="24.0"/>
    <col customWidth="1" min="4" max="4" width="22.0"/>
    <col customWidth="1" min="5" max="5" width="20.0"/>
    <col customWidth="1" min="6" max="6" width="14.0"/>
    <col customWidth="1" min="7" max="9" width="19.0"/>
    <col customWidth="1" min="10" max="10" width="20.0"/>
  </cols>
  <sheetData>
    <row r="1" ht="39.75" customHeight="1">
      <c r="A1" s="2" t="s">
        <v>1244</v>
      </c>
      <c r="B1" s="3"/>
      <c r="C1" s="3"/>
      <c r="D1" s="3"/>
      <c r="E1" s="3"/>
      <c r="F1" s="3"/>
      <c r="G1" s="3"/>
      <c r="H1" s="3"/>
      <c r="I1" s="3"/>
      <c r="J1" s="4"/>
    </row>
    <row r="2" ht="24.0" customHeight="1">
      <c r="A2" s="9" t="s">
        <v>1245</v>
      </c>
      <c r="B2" s="3"/>
      <c r="C2" s="3"/>
      <c r="D2" s="3"/>
      <c r="E2" s="3"/>
      <c r="F2" s="3"/>
      <c r="G2" s="3"/>
      <c r="H2" s="3"/>
      <c r="I2" s="3"/>
      <c r="J2" s="4"/>
    </row>
    <row r="3" ht="9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</row>
    <row r="4" ht="19.5" customHeight="1">
      <c r="A4" s="20" t="s">
        <v>1246</v>
      </c>
      <c r="B4" s="21"/>
      <c r="C4" s="11" t="s">
        <v>1247</v>
      </c>
      <c r="D4" s="13"/>
      <c r="E4" s="14" t="s">
        <v>1248</v>
      </c>
      <c r="F4" s="16"/>
      <c r="G4" s="17" t="s">
        <v>1249</v>
      </c>
      <c r="H4" s="19"/>
      <c r="I4" s="104"/>
      <c r="J4" s="104"/>
    </row>
    <row r="5" ht="33.75" customHeight="1">
      <c r="A5" s="27">
        <f>SUM(C10:C25)</f>
        <v>0</v>
      </c>
      <c r="B5" s="24"/>
      <c r="C5" s="22">
        <f>SUM(D10:D25)</f>
        <v>0</v>
      </c>
      <c r="D5" s="24"/>
      <c r="E5" s="25">
        <f>SUM(E10:E25)</f>
        <v>0</v>
      </c>
      <c r="F5" s="24"/>
      <c r="G5" s="220">
        <f>IF(A5=0, 0, C5/A5)</f>
        <v>0</v>
      </c>
      <c r="H5" s="24"/>
      <c r="I5" s="104"/>
      <c r="J5" s="104"/>
    </row>
    <row r="6" ht="9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</row>
    <row r="7" ht="7.5" customHeight="1">
      <c r="A7" s="104"/>
      <c r="B7" s="104"/>
      <c r="C7" s="104"/>
      <c r="D7" s="104"/>
      <c r="E7" s="104"/>
      <c r="F7" s="104"/>
      <c r="G7" s="104"/>
      <c r="H7" s="104"/>
      <c r="I7" s="104"/>
      <c r="J7" s="104"/>
    </row>
    <row r="8" ht="7.5" customHeight="1">
      <c r="A8" s="104"/>
      <c r="B8" s="104"/>
      <c r="C8" s="104"/>
      <c r="D8" s="104"/>
      <c r="E8" s="104"/>
      <c r="F8" s="104"/>
      <c r="G8" s="104"/>
      <c r="H8" s="104"/>
      <c r="I8" s="104"/>
      <c r="J8" s="104"/>
    </row>
    <row r="9" ht="27.75" customHeight="1">
      <c r="A9" s="139" t="s">
        <v>121</v>
      </c>
      <c r="B9" s="140" t="s">
        <v>1250</v>
      </c>
      <c r="C9" s="140" t="s">
        <v>1251</v>
      </c>
      <c r="D9" s="140" t="s">
        <v>1252</v>
      </c>
      <c r="E9" s="140" t="s">
        <v>1253</v>
      </c>
      <c r="F9" s="140" t="s">
        <v>1254</v>
      </c>
      <c r="G9" s="140" t="s">
        <v>1255</v>
      </c>
      <c r="H9" s="140" t="s">
        <v>95</v>
      </c>
      <c r="I9" s="140" t="s">
        <v>90</v>
      </c>
      <c r="J9" s="141" t="s">
        <v>1256</v>
      </c>
    </row>
    <row r="10" ht="21.75" customHeight="1">
      <c r="A10" s="221"/>
      <c r="B10" s="211"/>
      <c r="C10" s="43"/>
      <c r="D10" s="43"/>
      <c r="E10" s="43" t="str">
        <f t="shared" ref="E10:E24" si="1">IF(A10="", "", MAX(0, C10-D10))</f>
        <v/>
      </c>
      <c r="F10" s="222" t="str">
        <f t="shared" ref="F10:F24" si="2">IF(OR(A10="", C10=0), "", MIN(1, D10/C10))</f>
        <v/>
      </c>
      <c r="G10" s="223" t="str">
        <f t="shared" ref="G10:G24" si="3">IF(A10="", "", REPT("█", ROUND(N(F10)*10, 0)) &amp; REPT("░", 10-ROUND(N(F10)*10, 0)))</f>
        <v/>
      </c>
      <c r="H10" s="68" t="str">
        <f t="shared" ref="H10:H24" si="4">IF(A10="", "", IF(D10&gt;=C10, "🟢 Cumplida", IF(D10&gt;0, "🟡 En Progreso", "🔴 No Iniciada")))</f>
        <v/>
      </c>
      <c r="I10" s="68"/>
      <c r="J10" s="85"/>
    </row>
    <row r="11" ht="21.75" customHeight="1">
      <c r="A11" s="224"/>
      <c r="B11" s="213"/>
      <c r="C11" s="52"/>
      <c r="D11" s="52"/>
      <c r="E11" s="52" t="str">
        <f t="shared" si="1"/>
        <v/>
      </c>
      <c r="F11" s="225" t="str">
        <f t="shared" si="2"/>
        <v/>
      </c>
      <c r="G11" s="226" t="str">
        <f t="shared" si="3"/>
        <v/>
      </c>
      <c r="H11" s="73" t="str">
        <f t="shared" si="4"/>
        <v/>
      </c>
      <c r="I11" s="73"/>
      <c r="J11" s="87"/>
    </row>
    <row r="12" ht="21.75" customHeight="1">
      <c r="A12" s="221"/>
      <c r="B12" s="211"/>
      <c r="C12" s="43"/>
      <c r="D12" s="43"/>
      <c r="E12" s="43" t="str">
        <f t="shared" si="1"/>
        <v/>
      </c>
      <c r="F12" s="222" t="str">
        <f t="shared" si="2"/>
        <v/>
      </c>
      <c r="G12" s="223" t="str">
        <f t="shared" si="3"/>
        <v/>
      </c>
      <c r="H12" s="68" t="str">
        <f t="shared" si="4"/>
        <v/>
      </c>
      <c r="I12" s="68"/>
      <c r="J12" s="85"/>
    </row>
    <row r="13" ht="21.75" customHeight="1">
      <c r="A13" s="224"/>
      <c r="B13" s="213"/>
      <c r="C13" s="52"/>
      <c r="D13" s="52"/>
      <c r="E13" s="52" t="str">
        <f t="shared" si="1"/>
        <v/>
      </c>
      <c r="F13" s="225" t="str">
        <f t="shared" si="2"/>
        <v/>
      </c>
      <c r="G13" s="226" t="str">
        <f t="shared" si="3"/>
        <v/>
      </c>
      <c r="H13" s="73" t="str">
        <f t="shared" si="4"/>
        <v/>
      </c>
      <c r="I13" s="73"/>
      <c r="J13" s="87"/>
    </row>
    <row r="14" ht="21.75" customHeight="1">
      <c r="A14" s="221"/>
      <c r="B14" s="211"/>
      <c r="C14" s="43"/>
      <c r="D14" s="43"/>
      <c r="E14" s="43" t="str">
        <f t="shared" si="1"/>
        <v/>
      </c>
      <c r="F14" s="222" t="str">
        <f t="shared" si="2"/>
        <v/>
      </c>
      <c r="G14" s="223" t="str">
        <f t="shared" si="3"/>
        <v/>
      </c>
      <c r="H14" s="68" t="str">
        <f t="shared" si="4"/>
        <v/>
      </c>
      <c r="I14" s="68"/>
      <c r="J14" s="85"/>
    </row>
    <row r="15" ht="21.75" customHeight="1">
      <c r="A15" s="224"/>
      <c r="B15" s="213"/>
      <c r="C15" s="52"/>
      <c r="D15" s="52"/>
      <c r="E15" s="52" t="str">
        <f t="shared" si="1"/>
        <v/>
      </c>
      <c r="F15" s="225" t="str">
        <f t="shared" si="2"/>
        <v/>
      </c>
      <c r="G15" s="226" t="str">
        <f t="shared" si="3"/>
        <v/>
      </c>
      <c r="H15" s="73" t="str">
        <f t="shared" si="4"/>
        <v/>
      </c>
      <c r="I15" s="73"/>
      <c r="J15" s="87"/>
    </row>
    <row r="16" ht="21.75" customHeight="1">
      <c r="A16" s="221"/>
      <c r="B16" s="211"/>
      <c r="C16" s="43"/>
      <c r="D16" s="43"/>
      <c r="E16" s="43" t="str">
        <f t="shared" si="1"/>
        <v/>
      </c>
      <c r="F16" s="222" t="str">
        <f t="shared" si="2"/>
        <v/>
      </c>
      <c r="G16" s="223" t="str">
        <f t="shared" si="3"/>
        <v/>
      </c>
      <c r="H16" s="68" t="str">
        <f t="shared" si="4"/>
        <v/>
      </c>
      <c r="I16" s="68"/>
      <c r="J16" s="85"/>
    </row>
    <row r="17" ht="21.75" customHeight="1">
      <c r="A17" s="224"/>
      <c r="B17" s="213"/>
      <c r="C17" s="52"/>
      <c r="D17" s="52"/>
      <c r="E17" s="52" t="str">
        <f t="shared" si="1"/>
        <v/>
      </c>
      <c r="F17" s="225" t="str">
        <f t="shared" si="2"/>
        <v/>
      </c>
      <c r="G17" s="226" t="str">
        <f t="shared" si="3"/>
        <v/>
      </c>
      <c r="H17" s="73" t="str">
        <f t="shared" si="4"/>
        <v/>
      </c>
      <c r="I17" s="73"/>
      <c r="J17" s="87"/>
    </row>
    <row r="18" ht="21.75" customHeight="1">
      <c r="A18" s="221"/>
      <c r="B18" s="211"/>
      <c r="C18" s="43"/>
      <c r="D18" s="43"/>
      <c r="E18" s="43" t="str">
        <f t="shared" si="1"/>
        <v/>
      </c>
      <c r="F18" s="222" t="str">
        <f t="shared" si="2"/>
        <v/>
      </c>
      <c r="G18" s="223" t="str">
        <f t="shared" si="3"/>
        <v/>
      </c>
      <c r="H18" s="68" t="str">
        <f t="shared" si="4"/>
        <v/>
      </c>
      <c r="I18" s="68"/>
      <c r="J18" s="85"/>
    </row>
    <row r="19" ht="21.75" customHeight="1">
      <c r="A19" s="224"/>
      <c r="B19" s="213"/>
      <c r="C19" s="52"/>
      <c r="D19" s="52"/>
      <c r="E19" s="52" t="str">
        <f t="shared" si="1"/>
        <v/>
      </c>
      <c r="F19" s="225" t="str">
        <f t="shared" si="2"/>
        <v/>
      </c>
      <c r="G19" s="226" t="str">
        <f t="shared" si="3"/>
        <v/>
      </c>
      <c r="H19" s="73" t="str">
        <f t="shared" si="4"/>
        <v/>
      </c>
      <c r="I19" s="73"/>
      <c r="J19" s="87"/>
    </row>
    <row r="20" ht="21.75" customHeight="1">
      <c r="A20" s="221"/>
      <c r="B20" s="211"/>
      <c r="C20" s="43"/>
      <c r="D20" s="43"/>
      <c r="E20" s="43" t="str">
        <f t="shared" si="1"/>
        <v/>
      </c>
      <c r="F20" s="222" t="str">
        <f t="shared" si="2"/>
        <v/>
      </c>
      <c r="G20" s="223" t="str">
        <f t="shared" si="3"/>
        <v/>
      </c>
      <c r="H20" s="68" t="str">
        <f t="shared" si="4"/>
        <v/>
      </c>
      <c r="I20" s="68"/>
      <c r="J20" s="85"/>
    </row>
    <row r="21" ht="21.75" customHeight="1">
      <c r="A21" s="224"/>
      <c r="B21" s="213"/>
      <c r="C21" s="52"/>
      <c r="D21" s="52"/>
      <c r="E21" s="52" t="str">
        <f t="shared" si="1"/>
        <v/>
      </c>
      <c r="F21" s="225" t="str">
        <f t="shared" si="2"/>
        <v/>
      </c>
      <c r="G21" s="226" t="str">
        <f t="shared" si="3"/>
        <v/>
      </c>
      <c r="H21" s="73" t="str">
        <f t="shared" si="4"/>
        <v/>
      </c>
      <c r="I21" s="73"/>
      <c r="J21" s="87"/>
    </row>
    <row r="22" ht="21.75" customHeight="1">
      <c r="A22" s="221"/>
      <c r="B22" s="211"/>
      <c r="C22" s="43"/>
      <c r="D22" s="43"/>
      <c r="E22" s="43" t="str">
        <f t="shared" si="1"/>
        <v/>
      </c>
      <c r="F22" s="222" t="str">
        <f t="shared" si="2"/>
        <v/>
      </c>
      <c r="G22" s="223" t="str">
        <f t="shared" si="3"/>
        <v/>
      </c>
      <c r="H22" s="68" t="str">
        <f t="shared" si="4"/>
        <v/>
      </c>
      <c r="I22" s="68"/>
      <c r="J22" s="85"/>
    </row>
    <row r="23" ht="21.75" customHeight="1">
      <c r="A23" s="224"/>
      <c r="B23" s="213"/>
      <c r="C23" s="52"/>
      <c r="D23" s="52"/>
      <c r="E23" s="52" t="str">
        <f t="shared" si="1"/>
        <v/>
      </c>
      <c r="F23" s="225" t="str">
        <f t="shared" si="2"/>
        <v/>
      </c>
      <c r="G23" s="226" t="str">
        <f t="shared" si="3"/>
        <v/>
      </c>
      <c r="H23" s="73" t="str">
        <f t="shared" si="4"/>
        <v/>
      </c>
      <c r="I23" s="73"/>
      <c r="J23" s="87"/>
    </row>
    <row r="24" ht="21.75" customHeight="1">
      <c r="A24" s="221"/>
      <c r="B24" s="211"/>
      <c r="C24" s="43"/>
      <c r="D24" s="43"/>
      <c r="E24" s="43" t="str">
        <f t="shared" si="1"/>
        <v/>
      </c>
      <c r="F24" s="222" t="str">
        <f t="shared" si="2"/>
        <v/>
      </c>
      <c r="G24" s="223" t="str">
        <f t="shared" si="3"/>
        <v/>
      </c>
      <c r="H24" s="68" t="str">
        <f t="shared" si="4"/>
        <v/>
      </c>
      <c r="I24" s="68"/>
      <c r="J24" s="85"/>
    </row>
    <row r="25" ht="21.75" customHeight="1">
      <c r="A25" s="227"/>
      <c r="B25" s="228"/>
      <c r="C25" s="151"/>
      <c r="D25" s="151"/>
      <c r="E25" s="151"/>
      <c r="F25" s="93"/>
      <c r="G25" s="229"/>
      <c r="H25" s="94"/>
      <c r="I25" s="94"/>
      <c r="J25" s="23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5:D5"/>
    <mergeCell ref="E5:F5"/>
    <mergeCell ref="A1:J1"/>
    <mergeCell ref="A2:J2"/>
    <mergeCell ref="A4:B4"/>
    <mergeCell ref="C4:D4"/>
    <mergeCell ref="E4:F4"/>
    <mergeCell ref="G4:H4"/>
    <mergeCell ref="A5:B5"/>
    <mergeCell ref="G5:H5"/>
  </mergeCells>
  <conditionalFormatting sqref="H10:H25">
    <cfRule type="expression" dxfId="0" priority="1">
      <formula>ISNUMBER(SEARCH("🟢", H10))</formula>
    </cfRule>
  </conditionalFormatting>
  <conditionalFormatting sqref="H10:H25">
    <cfRule type="expression" dxfId="0" priority="2">
      <formula>ISNUMBER(SEARCH("✅", H10))</formula>
    </cfRule>
  </conditionalFormatting>
  <conditionalFormatting sqref="H10:H25">
    <cfRule type="expression" dxfId="1" priority="3">
      <formula>ISNUMBER(SEARCH("🔴", H10))</formula>
    </cfRule>
  </conditionalFormatting>
  <conditionalFormatting sqref="H10:H25">
    <cfRule type="expression" dxfId="1" priority="4">
      <formula>ISNUMBER(SEARCH("🚨", H10))</formula>
    </cfRule>
  </conditionalFormatting>
  <conditionalFormatting sqref="H10:H25">
    <cfRule type="expression" dxfId="2" priority="5">
      <formula>ISNUMBER(SEARCH("🟡", H10))</formula>
    </cfRule>
  </conditionalFormatting>
  <conditionalFormatting sqref="H10:H25">
    <cfRule type="expression" dxfId="2" priority="6">
      <formula>ISNUMBER(SEARCH("⚠️", H10))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3.0"/>
    <col customWidth="1" min="2" max="2" width="19.0"/>
    <col customWidth="1" min="3" max="3" width="21.0"/>
    <col customWidth="1" min="4" max="4" width="22.0"/>
    <col customWidth="1" min="5" max="5" width="23.0"/>
    <col customWidth="1" min="6" max="6" width="16.0"/>
    <col customWidth="1" min="7" max="7" width="24.0"/>
    <col customWidth="1" min="8" max="8" width="19.0"/>
    <col customWidth="1" min="9" max="9" width="23.0"/>
    <col customWidth="1" min="10" max="10" width="28.0"/>
  </cols>
  <sheetData>
    <row r="1" ht="39.75" customHeight="1">
      <c r="A1" s="2" t="s">
        <v>1257</v>
      </c>
      <c r="B1" s="3"/>
      <c r="C1" s="3"/>
      <c r="D1" s="3"/>
      <c r="E1" s="3"/>
      <c r="F1" s="3"/>
      <c r="G1" s="3"/>
      <c r="H1" s="3"/>
      <c r="I1" s="3"/>
      <c r="J1" s="4"/>
    </row>
    <row r="2" ht="24.0" customHeight="1">
      <c r="A2" s="9" t="s">
        <v>1258</v>
      </c>
      <c r="B2" s="3"/>
      <c r="C2" s="3"/>
      <c r="D2" s="3"/>
      <c r="E2" s="3"/>
      <c r="F2" s="3"/>
      <c r="G2" s="3"/>
      <c r="H2" s="3"/>
      <c r="I2" s="3"/>
      <c r="J2" s="4"/>
    </row>
    <row r="3" ht="9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</row>
    <row r="4" ht="19.5" customHeight="1">
      <c r="A4" s="20" t="s">
        <v>1259</v>
      </c>
      <c r="B4" s="21"/>
      <c r="C4" s="11" t="s">
        <v>1260</v>
      </c>
      <c r="D4" s="13"/>
      <c r="E4" s="14" t="s">
        <v>1261</v>
      </c>
      <c r="F4" s="15"/>
      <c r="G4" s="16"/>
      <c r="H4" s="17" t="s">
        <v>1262</v>
      </c>
      <c r="I4" s="18"/>
      <c r="J4" s="19"/>
    </row>
    <row r="5" ht="33.75" customHeight="1">
      <c r="A5" s="27">
        <f>SUM(E10:E34)</f>
        <v>0</v>
      </c>
      <c r="B5" s="24"/>
      <c r="C5" s="22">
        <f>SUM(F10:F34)</f>
        <v>0</v>
      </c>
      <c r="D5" s="24"/>
      <c r="E5" s="25">
        <f>SUM(G10:G34)</f>
        <v>0</v>
      </c>
      <c r="F5" s="23"/>
      <c r="G5" s="24"/>
      <c r="H5" s="231">
        <f>COUNTIF(G10:G34, "&gt;0")</f>
        <v>0</v>
      </c>
      <c r="I5" s="23"/>
      <c r="J5" s="24"/>
    </row>
    <row r="6" ht="9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</row>
    <row r="7" ht="7.5" customHeight="1">
      <c r="A7" s="104"/>
      <c r="B7" s="104"/>
      <c r="C7" s="104"/>
      <c r="D7" s="104"/>
      <c r="E7" s="104"/>
      <c r="F7" s="104"/>
      <c r="G7" s="104"/>
      <c r="H7" s="104"/>
      <c r="I7" s="104"/>
      <c r="J7" s="104"/>
    </row>
    <row r="8" ht="7.5" customHeight="1">
      <c r="A8" s="104"/>
      <c r="B8" s="104"/>
      <c r="C8" s="104"/>
      <c r="D8" s="104"/>
      <c r="E8" s="104"/>
      <c r="F8" s="104"/>
      <c r="G8" s="104"/>
      <c r="H8" s="104"/>
      <c r="I8" s="104"/>
      <c r="J8" s="104"/>
    </row>
    <row r="9" ht="27.75" customHeight="1">
      <c r="A9" s="139" t="s">
        <v>121</v>
      </c>
      <c r="B9" s="140" t="s">
        <v>1263</v>
      </c>
      <c r="C9" s="140" t="s">
        <v>1264</v>
      </c>
      <c r="D9" s="140" t="s">
        <v>1265</v>
      </c>
      <c r="E9" s="140" t="s">
        <v>1266</v>
      </c>
      <c r="F9" s="140" t="s">
        <v>1011</v>
      </c>
      <c r="G9" s="140" t="s">
        <v>924</v>
      </c>
      <c r="H9" s="140" t="s">
        <v>95</v>
      </c>
      <c r="I9" s="140" t="s">
        <v>1267</v>
      </c>
      <c r="J9" s="141" t="s">
        <v>1268</v>
      </c>
    </row>
    <row r="10" ht="21.75" customHeight="1">
      <c r="A10" s="221"/>
      <c r="B10" s="144"/>
      <c r="C10" s="211"/>
      <c r="D10" s="145"/>
      <c r="E10" s="43"/>
      <c r="F10" s="43"/>
      <c r="G10" s="43" t="str">
        <f t="shared" ref="G10:G34" si="1">IF(ISBLANK(A10), "", MAX(0, E10-N(F10)))</f>
        <v/>
      </c>
      <c r="H10" s="68" t="str">
        <f t="shared" ref="H10:H34" si="2">IF(ISBLANK(A10), "", IF(G10&lt;=0, "🟢 Cobrado Total", IF(N(F10)&gt;0, "🟡 Parcial", "🔴 Pendiente")))</f>
        <v/>
      </c>
      <c r="I10" s="144"/>
      <c r="J10" s="146"/>
    </row>
    <row r="11" ht="21.75" customHeight="1">
      <c r="A11" s="224"/>
      <c r="B11" s="128"/>
      <c r="C11" s="213"/>
      <c r="D11" s="129"/>
      <c r="E11" s="52"/>
      <c r="F11" s="52"/>
      <c r="G11" s="52" t="str">
        <f t="shared" si="1"/>
        <v/>
      </c>
      <c r="H11" s="73" t="str">
        <f t="shared" si="2"/>
        <v/>
      </c>
      <c r="I11" s="128"/>
      <c r="J11" s="147"/>
    </row>
    <row r="12" ht="21.75" customHeight="1">
      <c r="A12" s="221"/>
      <c r="B12" s="144"/>
      <c r="C12" s="211"/>
      <c r="D12" s="145"/>
      <c r="E12" s="43"/>
      <c r="F12" s="43"/>
      <c r="G12" s="43" t="str">
        <f t="shared" si="1"/>
        <v/>
      </c>
      <c r="H12" s="68" t="str">
        <f t="shared" si="2"/>
        <v/>
      </c>
      <c r="I12" s="144"/>
      <c r="J12" s="146"/>
    </row>
    <row r="13" ht="21.75" customHeight="1">
      <c r="A13" s="224"/>
      <c r="B13" s="128"/>
      <c r="C13" s="213"/>
      <c r="D13" s="129"/>
      <c r="E13" s="52"/>
      <c r="F13" s="52"/>
      <c r="G13" s="52" t="str">
        <f t="shared" si="1"/>
        <v/>
      </c>
      <c r="H13" s="73" t="str">
        <f t="shared" si="2"/>
        <v/>
      </c>
      <c r="I13" s="128"/>
      <c r="J13" s="147"/>
    </row>
    <row r="14" ht="21.75" customHeight="1">
      <c r="A14" s="221"/>
      <c r="B14" s="144"/>
      <c r="C14" s="211"/>
      <c r="D14" s="145"/>
      <c r="E14" s="43"/>
      <c r="F14" s="43"/>
      <c r="G14" s="43" t="str">
        <f t="shared" si="1"/>
        <v/>
      </c>
      <c r="H14" s="68" t="str">
        <f t="shared" si="2"/>
        <v/>
      </c>
      <c r="I14" s="144"/>
      <c r="J14" s="146"/>
    </row>
    <row r="15" ht="21.75" customHeight="1">
      <c r="A15" s="224"/>
      <c r="B15" s="128"/>
      <c r="C15" s="213"/>
      <c r="D15" s="129"/>
      <c r="E15" s="52"/>
      <c r="F15" s="52"/>
      <c r="G15" s="52" t="str">
        <f t="shared" si="1"/>
        <v/>
      </c>
      <c r="H15" s="73" t="str">
        <f t="shared" si="2"/>
        <v/>
      </c>
      <c r="I15" s="128"/>
      <c r="J15" s="147"/>
    </row>
    <row r="16" ht="21.75" customHeight="1">
      <c r="A16" s="221"/>
      <c r="B16" s="144"/>
      <c r="C16" s="211"/>
      <c r="D16" s="145"/>
      <c r="E16" s="43"/>
      <c r="F16" s="43"/>
      <c r="G16" s="43" t="str">
        <f t="shared" si="1"/>
        <v/>
      </c>
      <c r="H16" s="68" t="str">
        <f t="shared" si="2"/>
        <v/>
      </c>
      <c r="I16" s="144"/>
      <c r="J16" s="146"/>
    </row>
    <row r="17" ht="21.75" customHeight="1">
      <c r="A17" s="224"/>
      <c r="B17" s="128"/>
      <c r="C17" s="213"/>
      <c r="D17" s="129"/>
      <c r="E17" s="52"/>
      <c r="F17" s="52"/>
      <c r="G17" s="52" t="str">
        <f t="shared" si="1"/>
        <v/>
      </c>
      <c r="H17" s="73" t="str">
        <f t="shared" si="2"/>
        <v/>
      </c>
      <c r="I17" s="128"/>
      <c r="J17" s="147"/>
    </row>
    <row r="18" ht="21.75" customHeight="1">
      <c r="A18" s="221"/>
      <c r="B18" s="144"/>
      <c r="C18" s="211"/>
      <c r="D18" s="145"/>
      <c r="E18" s="43"/>
      <c r="F18" s="43"/>
      <c r="G18" s="43" t="str">
        <f t="shared" si="1"/>
        <v/>
      </c>
      <c r="H18" s="68" t="str">
        <f t="shared" si="2"/>
        <v/>
      </c>
      <c r="I18" s="144"/>
      <c r="J18" s="146"/>
    </row>
    <row r="19" ht="21.75" customHeight="1">
      <c r="A19" s="224"/>
      <c r="B19" s="128"/>
      <c r="C19" s="213"/>
      <c r="D19" s="129"/>
      <c r="E19" s="52"/>
      <c r="F19" s="52"/>
      <c r="G19" s="52" t="str">
        <f t="shared" si="1"/>
        <v/>
      </c>
      <c r="H19" s="73" t="str">
        <f t="shared" si="2"/>
        <v/>
      </c>
      <c r="I19" s="128"/>
      <c r="J19" s="147"/>
    </row>
    <row r="20" ht="21.75" customHeight="1">
      <c r="A20" s="221"/>
      <c r="B20" s="144"/>
      <c r="C20" s="211"/>
      <c r="D20" s="145"/>
      <c r="E20" s="43"/>
      <c r="F20" s="43"/>
      <c r="G20" s="43" t="str">
        <f t="shared" si="1"/>
        <v/>
      </c>
      <c r="H20" s="68" t="str">
        <f t="shared" si="2"/>
        <v/>
      </c>
      <c r="I20" s="144"/>
      <c r="J20" s="146"/>
    </row>
    <row r="21" ht="21.75" customHeight="1">
      <c r="A21" s="224"/>
      <c r="B21" s="128"/>
      <c r="C21" s="213"/>
      <c r="D21" s="129"/>
      <c r="E21" s="52"/>
      <c r="F21" s="52"/>
      <c r="G21" s="52" t="str">
        <f t="shared" si="1"/>
        <v/>
      </c>
      <c r="H21" s="73" t="str">
        <f t="shared" si="2"/>
        <v/>
      </c>
      <c r="I21" s="128"/>
      <c r="J21" s="147"/>
    </row>
    <row r="22" ht="21.75" customHeight="1">
      <c r="A22" s="221"/>
      <c r="B22" s="144"/>
      <c r="C22" s="211"/>
      <c r="D22" s="145"/>
      <c r="E22" s="43"/>
      <c r="F22" s="43"/>
      <c r="G22" s="43" t="str">
        <f t="shared" si="1"/>
        <v/>
      </c>
      <c r="H22" s="68" t="str">
        <f t="shared" si="2"/>
        <v/>
      </c>
      <c r="I22" s="144"/>
      <c r="J22" s="146"/>
    </row>
    <row r="23" ht="21.75" customHeight="1">
      <c r="A23" s="224"/>
      <c r="B23" s="128"/>
      <c r="C23" s="213"/>
      <c r="D23" s="129"/>
      <c r="E23" s="52"/>
      <c r="F23" s="52"/>
      <c r="G23" s="52" t="str">
        <f t="shared" si="1"/>
        <v/>
      </c>
      <c r="H23" s="73" t="str">
        <f t="shared" si="2"/>
        <v/>
      </c>
      <c r="I23" s="128"/>
      <c r="J23" s="147"/>
    </row>
    <row r="24" ht="21.75" customHeight="1">
      <c r="A24" s="221"/>
      <c r="B24" s="144"/>
      <c r="C24" s="211"/>
      <c r="D24" s="145"/>
      <c r="E24" s="43"/>
      <c r="F24" s="43"/>
      <c r="G24" s="43" t="str">
        <f t="shared" si="1"/>
        <v/>
      </c>
      <c r="H24" s="68" t="str">
        <f t="shared" si="2"/>
        <v/>
      </c>
      <c r="I24" s="144"/>
      <c r="J24" s="146"/>
    </row>
    <row r="25" ht="21.75" customHeight="1">
      <c r="A25" s="224"/>
      <c r="B25" s="128"/>
      <c r="C25" s="213"/>
      <c r="D25" s="129"/>
      <c r="E25" s="52"/>
      <c r="F25" s="52"/>
      <c r="G25" s="52" t="str">
        <f t="shared" si="1"/>
        <v/>
      </c>
      <c r="H25" s="73" t="str">
        <f t="shared" si="2"/>
        <v/>
      </c>
      <c r="I25" s="128"/>
      <c r="J25" s="147"/>
    </row>
    <row r="26" ht="21.75" customHeight="1">
      <c r="A26" s="221"/>
      <c r="B26" s="144"/>
      <c r="C26" s="211"/>
      <c r="D26" s="145"/>
      <c r="E26" s="43"/>
      <c r="F26" s="43"/>
      <c r="G26" s="43" t="str">
        <f t="shared" si="1"/>
        <v/>
      </c>
      <c r="H26" s="68" t="str">
        <f t="shared" si="2"/>
        <v/>
      </c>
      <c r="I26" s="144"/>
      <c r="J26" s="146"/>
    </row>
    <row r="27" ht="21.75" customHeight="1">
      <c r="A27" s="224"/>
      <c r="B27" s="128"/>
      <c r="C27" s="213"/>
      <c r="D27" s="129"/>
      <c r="E27" s="52"/>
      <c r="F27" s="52"/>
      <c r="G27" s="52" t="str">
        <f t="shared" si="1"/>
        <v/>
      </c>
      <c r="H27" s="73" t="str">
        <f t="shared" si="2"/>
        <v/>
      </c>
      <c r="I27" s="128"/>
      <c r="J27" s="147"/>
    </row>
    <row r="28" ht="21.75" customHeight="1">
      <c r="A28" s="221"/>
      <c r="B28" s="144"/>
      <c r="C28" s="211"/>
      <c r="D28" s="145"/>
      <c r="E28" s="43"/>
      <c r="F28" s="43"/>
      <c r="G28" s="43" t="str">
        <f t="shared" si="1"/>
        <v/>
      </c>
      <c r="H28" s="68" t="str">
        <f t="shared" si="2"/>
        <v/>
      </c>
      <c r="I28" s="144"/>
      <c r="J28" s="146"/>
    </row>
    <row r="29" ht="21.75" customHeight="1">
      <c r="A29" s="224"/>
      <c r="B29" s="128"/>
      <c r="C29" s="213"/>
      <c r="D29" s="129"/>
      <c r="E29" s="52"/>
      <c r="F29" s="52"/>
      <c r="G29" s="52" t="str">
        <f t="shared" si="1"/>
        <v/>
      </c>
      <c r="H29" s="73" t="str">
        <f t="shared" si="2"/>
        <v/>
      </c>
      <c r="I29" s="128"/>
      <c r="J29" s="147"/>
    </row>
    <row r="30" ht="21.75" customHeight="1">
      <c r="A30" s="221"/>
      <c r="B30" s="144"/>
      <c r="C30" s="211"/>
      <c r="D30" s="145"/>
      <c r="E30" s="43"/>
      <c r="F30" s="43"/>
      <c r="G30" s="43" t="str">
        <f t="shared" si="1"/>
        <v/>
      </c>
      <c r="H30" s="68" t="str">
        <f t="shared" si="2"/>
        <v/>
      </c>
      <c r="I30" s="144"/>
      <c r="J30" s="146"/>
    </row>
    <row r="31" ht="21.75" customHeight="1">
      <c r="A31" s="224"/>
      <c r="B31" s="128"/>
      <c r="C31" s="213"/>
      <c r="D31" s="129"/>
      <c r="E31" s="52"/>
      <c r="F31" s="52"/>
      <c r="G31" s="52" t="str">
        <f t="shared" si="1"/>
        <v/>
      </c>
      <c r="H31" s="73" t="str">
        <f t="shared" si="2"/>
        <v/>
      </c>
      <c r="I31" s="128"/>
      <c r="J31" s="147"/>
    </row>
    <row r="32" ht="21.75" customHeight="1">
      <c r="A32" s="221"/>
      <c r="B32" s="144"/>
      <c r="C32" s="211"/>
      <c r="D32" s="145"/>
      <c r="E32" s="43"/>
      <c r="F32" s="43"/>
      <c r="G32" s="43" t="str">
        <f t="shared" si="1"/>
        <v/>
      </c>
      <c r="H32" s="68" t="str">
        <f t="shared" si="2"/>
        <v/>
      </c>
      <c r="I32" s="144"/>
      <c r="J32" s="146"/>
    </row>
    <row r="33" ht="21.75" customHeight="1">
      <c r="A33" s="224"/>
      <c r="B33" s="128"/>
      <c r="C33" s="213"/>
      <c r="D33" s="129"/>
      <c r="E33" s="52"/>
      <c r="F33" s="52"/>
      <c r="G33" s="52" t="str">
        <f t="shared" si="1"/>
        <v/>
      </c>
      <c r="H33" s="73" t="str">
        <f t="shared" si="2"/>
        <v/>
      </c>
      <c r="I33" s="128"/>
      <c r="J33" s="147"/>
    </row>
    <row r="34" ht="21.75" customHeight="1">
      <c r="A34" s="232"/>
      <c r="B34" s="133"/>
      <c r="C34" s="196"/>
      <c r="D34" s="134"/>
      <c r="E34" s="135"/>
      <c r="F34" s="135"/>
      <c r="G34" s="135" t="str">
        <f t="shared" si="1"/>
        <v/>
      </c>
      <c r="H34" s="83" t="str">
        <f t="shared" si="2"/>
        <v/>
      </c>
      <c r="I34" s="133"/>
      <c r="J34" s="192"/>
    </row>
    <row r="35" ht="18.75" customHeight="1"/>
    <row r="36" ht="18.75" customHeight="1"/>
    <row r="37" ht="18.75" customHeight="1"/>
    <row r="38" ht="18.75" customHeight="1"/>
    <row r="39" ht="18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5:D5"/>
    <mergeCell ref="E5:G5"/>
    <mergeCell ref="A1:J1"/>
    <mergeCell ref="A2:J2"/>
    <mergeCell ref="A4:B4"/>
    <mergeCell ref="C4:D4"/>
    <mergeCell ref="E4:G4"/>
    <mergeCell ref="H4:J4"/>
    <mergeCell ref="A5:B5"/>
    <mergeCell ref="H5:J5"/>
  </mergeCells>
  <conditionalFormatting sqref="H10:H34">
    <cfRule type="expression" dxfId="0" priority="1">
      <formula>ISNUMBER(SEARCH("🟢", H10))</formula>
    </cfRule>
  </conditionalFormatting>
  <conditionalFormatting sqref="H10:H34">
    <cfRule type="expression" dxfId="0" priority="2">
      <formula>ISNUMBER(SEARCH("✅", H10))</formula>
    </cfRule>
  </conditionalFormatting>
  <conditionalFormatting sqref="H10:H34">
    <cfRule type="expression" dxfId="1" priority="3">
      <formula>ISNUMBER(SEARCH("🔴", H10))</formula>
    </cfRule>
  </conditionalFormatting>
  <conditionalFormatting sqref="H10:H34">
    <cfRule type="expression" dxfId="1" priority="4">
      <formula>ISNUMBER(SEARCH("🚨", H10))</formula>
    </cfRule>
  </conditionalFormatting>
  <conditionalFormatting sqref="H10:H34">
    <cfRule type="expression" dxfId="2" priority="5">
      <formula>ISNUMBER(SEARCH("🟡", H10))</formula>
    </cfRule>
  </conditionalFormatting>
  <conditionalFormatting sqref="H10:H34">
    <cfRule type="expression" dxfId="2" priority="6">
      <formula>ISNUMBER(SEARCH("⚠️", H10))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3.0"/>
    <col customWidth="1" min="3" max="3" width="46.0"/>
    <col customWidth="1" min="4" max="4" width="18.0"/>
    <col customWidth="1" min="5" max="5" width="14.0"/>
    <col customWidth="1" min="6" max="6" width="4.0"/>
    <col customWidth="1" min="7" max="7" width="15.0"/>
    <col customWidth="1" min="8" max="8" width="13.0"/>
    <col customWidth="1" min="9" max="9" width="4.0"/>
    <col customWidth="1" min="10" max="10" width="13.0"/>
    <col customWidth="1" min="11" max="11" width="27.0"/>
    <col customWidth="1" min="12" max="12" width="23.0"/>
  </cols>
  <sheetData>
    <row r="1" ht="39.75" customHeight="1">
      <c r="A1" s="2" t="s">
        <v>1269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4.0" customHeight="1">
      <c r="A2" s="9" t="s">
        <v>1270</v>
      </c>
      <c r="B2" s="3"/>
      <c r="C2" s="3"/>
      <c r="D2" s="3"/>
      <c r="E2" s="4"/>
      <c r="G2" s="233"/>
      <c r="H2" s="108"/>
      <c r="J2" s="233"/>
      <c r="K2" s="234"/>
      <c r="L2" s="108"/>
    </row>
    <row r="3" ht="27.75" customHeight="1">
      <c r="A3" s="139" t="s">
        <v>41</v>
      </c>
      <c r="B3" s="140" t="s">
        <v>124</v>
      </c>
      <c r="C3" s="140" t="s">
        <v>1271</v>
      </c>
      <c r="D3" s="140" t="s">
        <v>1272</v>
      </c>
      <c r="E3" s="141" t="s">
        <v>925</v>
      </c>
      <c r="F3" s="104"/>
      <c r="G3" s="235" t="s">
        <v>197</v>
      </c>
      <c r="H3" s="212">
        <v>2024.0</v>
      </c>
      <c r="I3" s="104"/>
      <c r="J3" s="235" t="s">
        <v>191</v>
      </c>
      <c r="K3" s="236" t="s">
        <v>170</v>
      </c>
      <c r="L3" s="237" t="s">
        <v>1273</v>
      </c>
    </row>
    <row r="4" ht="21.75" customHeight="1">
      <c r="A4" s="40" t="s">
        <v>48</v>
      </c>
      <c r="B4" s="68" t="s">
        <v>138</v>
      </c>
      <c r="C4" s="145" t="s">
        <v>1274</v>
      </c>
      <c r="D4" s="68" t="s">
        <v>1275</v>
      </c>
      <c r="E4" s="85" t="s">
        <v>1276</v>
      </c>
      <c r="F4" s="104"/>
      <c r="G4" s="238" t="s">
        <v>205</v>
      </c>
      <c r="H4" s="214">
        <v>2025.0</v>
      </c>
      <c r="I4" s="104"/>
      <c r="J4" s="238" t="s">
        <v>138</v>
      </c>
      <c r="K4" s="239" t="s">
        <v>158</v>
      </c>
      <c r="L4" s="240" t="s">
        <v>194</v>
      </c>
    </row>
    <row r="5" ht="21.75" customHeight="1">
      <c r="A5" s="48" t="s">
        <v>173</v>
      </c>
      <c r="B5" s="73" t="s">
        <v>138</v>
      </c>
      <c r="C5" s="129" t="s">
        <v>1277</v>
      </c>
      <c r="D5" s="73" t="s">
        <v>1275</v>
      </c>
      <c r="E5" s="87" t="s">
        <v>1276</v>
      </c>
      <c r="F5" s="104"/>
      <c r="G5" s="235" t="s">
        <v>212</v>
      </c>
      <c r="H5" s="212">
        <v>2026.0</v>
      </c>
      <c r="I5" s="104"/>
      <c r="J5" s="235" t="s">
        <v>414</v>
      </c>
      <c r="K5" s="236" t="s">
        <v>1278</v>
      </c>
      <c r="L5" s="237" t="s">
        <v>291</v>
      </c>
    </row>
    <row r="6" ht="21.75" customHeight="1">
      <c r="A6" s="40" t="s">
        <v>179</v>
      </c>
      <c r="B6" s="68" t="s">
        <v>138</v>
      </c>
      <c r="C6" s="145" t="s">
        <v>1279</v>
      </c>
      <c r="D6" s="68" t="s">
        <v>1275</v>
      </c>
      <c r="E6" s="85" t="s">
        <v>1276</v>
      </c>
      <c r="F6" s="104"/>
      <c r="G6" s="238" t="s">
        <v>219</v>
      </c>
      <c r="H6" s="214">
        <v>2027.0</v>
      </c>
      <c r="I6" s="104"/>
      <c r="J6" s="241"/>
      <c r="K6" s="239" t="s">
        <v>195</v>
      </c>
      <c r="L6" s="240" t="s">
        <v>143</v>
      </c>
    </row>
    <row r="7" ht="21.75" customHeight="1">
      <c r="A7" s="48" t="s">
        <v>258</v>
      </c>
      <c r="B7" s="73" t="s">
        <v>138</v>
      </c>
      <c r="C7" s="129" t="s">
        <v>1280</v>
      </c>
      <c r="D7" s="73" t="s">
        <v>1275</v>
      </c>
      <c r="E7" s="87" t="s">
        <v>1017</v>
      </c>
      <c r="F7" s="104"/>
      <c r="G7" s="235" t="s">
        <v>226</v>
      </c>
      <c r="H7" s="212">
        <v>2028.0</v>
      </c>
      <c r="I7" s="104"/>
      <c r="J7" s="242"/>
      <c r="K7" s="243" t="s">
        <v>142</v>
      </c>
      <c r="L7" s="244" t="s">
        <v>170</v>
      </c>
    </row>
    <row r="8" ht="21.75" customHeight="1">
      <c r="A8" s="40" t="s">
        <v>155</v>
      </c>
      <c r="B8" s="68" t="s">
        <v>138</v>
      </c>
      <c r="C8" s="145" t="s">
        <v>1281</v>
      </c>
      <c r="D8" s="68" t="s">
        <v>1275</v>
      </c>
      <c r="E8" s="85" t="s">
        <v>1017</v>
      </c>
      <c r="F8" s="104"/>
      <c r="G8" s="238" t="s">
        <v>233</v>
      </c>
      <c r="H8" s="214">
        <v>2029.0</v>
      </c>
      <c r="I8" s="104"/>
      <c r="J8" s="104"/>
      <c r="K8" s="104"/>
      <c r="L8" s="104"/>
    </row>
    <row r="9" ht="21.75" customHeight="1">
      <c r="A9" s="48" t="s">
        <v>56</v>
      </c>
      <c r="B9" s="73" t="s">
        <v>138</v>
      </c>
      <c r="C9" s="129" t="s">
        <v>1282</v>
      </c>
      <c r="D9" s="73" t="s">
        <v>1275</v>
      </c>
      <c r="E9" s="87" t="s">
        <v>1283</v>
      </c>
      <c r="F9" s="104"/>
      <c r="G9" s="235" t="s">
        <v>240</v>
      </c>
      <c r="H9" s="212">
        <v>2030.0</v>
      </c>
      <c r="I9" s="104"/>
      <c r="J9" s="104"/>
      <c r="K9" s="104"/>
      <c r="L9" s="104"/>
    </row>
    <row r="10" ht="21.75" customHeight="1">
      <c r="A10" s="40" t="s">
        <v>139</v>
      </c>
      <c r="B10" s="68" t="s">
        <v>138</v>
      </c>
      <c r="C10" s="145" t="s">
        <v>1284</v>
      </c>
      <c r="D10" s="68" t="s">
        <v>1275</v>
      </c>
      <c r="E10" s="85" t="s">
        <v>1283</v>
      </c>
      <c r="F10" s="104"/>
      <c r="G10" s="238" t="s">
        <v>247</v>
      </c>
      <c r="H10" s="245"/>
      <c r="I10" s="104"/>
      <c r="J10" s="104"/>
      <c r="K10" s="104"/>
      <c r="L10" s="104"/>
    </row>
    <row r="11" ht="21.75" customHeight="1">
      <c r="A11" s="48" t="s">
        <v>60</v>
      </c>
      <c r="B11" s="73" t="s">
        <v>138</v>
      </c>
      <c r="C11" s="129" t="s">
        <v>1285</v>
      </c>
      <c r="D11" s="73" t="s">
        <v>1275</v>
      </c>
      <c r="E11" s="87" t="s">
        <v>1283</v>
      </c>
      <c r="F11" s="104"/>
      <c r="G11" s="235" t="s">
        <v>175</v>
      </c>
      <c r="H11" s="245"/>
      <c r="I11" s="104"/>
      <c r="J11" s="104"/>
      <c r="K11" s="104"/>
      <c r="L11" s="104"/>
    </row>
    <row r="12" ht="21.75" customHeight="1">
      <c r="A12" s="40" t="s">
        <v>62</v>
      </c>
      <c r="B12" s="68" t="s">
        <v>138</v>
      </c>
      <c r="C12" s="145" t="s">
        <v>1286</v>
      </c>
      <c r="D12" s="68" t="s">
        <v>1275</v>
      </c>
      <c r="E12" s="85" t="s">
        <v>1017</v>
      </c>
      <c r="F12" s="104"/>
      <c r="G12" s="238" t="s">
        <v>3</v>
      </c>
      <c r="H12" s="245"/>
      <c r="I12" s="104"/>
      <c r="J12" s="104"/>
      <c r="K12" s="104"/>
      <c r="L12" s="104"/>
    </row>
    <row r="13" ht="21.75" customHeight="1">
      <c r="A13" s="48" t="s">
        <v>19</v>
      </c>
      <c r="B13" s="73" t="s">
        <v>571</v>
      </c>
      <c r="C13" s="129" t="s">
        <v>1287</v>
      </c>
      <c r="D13" s="73" t="s">
        <v>1288</v>
      </c>
      <c r="E13" s="87" t="s">
        <v>1276</v>
      </c>
      <c r="F13" s="104"/>
      <c r="G13" s="235" t="s">
        <v>1158</v>
      </c>
      <c r="H13" s="245"/>
      <c r="I13" s="104"/>
      <c r="J13" s="104"/>
      <c r="K13" s="104"/>
      <c r="L13" s="104"/>
    </row>
    <row r="14" ht="21.75" customHeight="1">
      <c r="A14" s="40" t="s">
        <v>23</v>
      </c>
      <c r="B14" s="68" t="s">
        <v>571</v>
      </c>
      <c r="C14" s="145" t="s">
        <v>1289</v>
      </c>
      <c r="D14" s="68" t="s">
        <v>1288</v>
      </c>
      <c r="E14" s="85" t="s">
        <v>1276</v>
      </c>
      <c r="F14" s="104"/>
      <c r="G14" s="246" t="s">
        <v>1175</v>
      </c>
      <c r="H14" s="247"/>
      <c r="I14" s="104"/>
      <c r="J14" s="104"/>
      <c r="K14" s="104"/>
      <c r="L14" s="104"/>
    </row>
    <row r="15" ht="21.75" customHeight="1">
      <c r="A15" s="48" t="s">
        <v>27</v>
      </c>
      <c r="B15" s="73" t="s">
        <v>571</v>
      </c>
      <c r="C15" s="129" t="s">
        <v>804</v>
      </c>
      <c r="D15" s="73" t="s">
        <v>1288</v>
      </c>
      <c r="E15" s="87" t="s">
        <v>1276</v>
      </c>
      <c r="F15" s="104"/>
      <c r="G15" s="104"/>
      <c r="H15" s="104"/>
      <c r="I15" s="104"/>
      <c r="J15" s="104"/>
      <c r="K15" s="104"/>
      <c r="L15" s="104"/>
    </row>
    <row r="16" ht="21.75" customHeight="1">
      <c r="A16" s="40" t="s">
        <v>1290</v>
      </c>
      <c r="B16" s="68" t="s">
        <v>571</v>
      </c>
      <c r="C16" s="145" t="s">
        <v>1291</v>
      </c>
      <c r="D16" s="68" t="s">
        <v>1288</v>
      </c>
      <c r="E16" s="85" t="s">
        <v>1276</v>
      </c>
      <c r="F16" s="104"/>
      <c r="G16" s="104"/>
      <c r="H16" s="104"/>
      <c r="I16" s="104"/>
      <c r="J16" s="104"/>
      <c r="K16" s="104"/>
      <c r="L16" s="104"/>
    </row>
    <row r="17" ht="21.75" customHeight="1">
      <c r="A17" s="92" t="s">
        <v>194</v>
      </c>
      <c r="B17" s="94" t="s">
        <v>191</v>
      </c>
      <c r="C17" s="154" t="s">
        <v>1292</v>
      </c>
      <c r="D17" s="94" t="s">
        <v>1288</v>
      </c>
      <c r="E17" s="230" t="s">
        <v>1276</v>
      </c>
      <c r="F17" s="104"/>
      <c r="G17" s="104"/>
      <c r="H17" s="104"/>
      <c r="I17" s="104"/>
      <c r="J17" s="104"/>
      <c r="K17" s="104"/>
      <c r="L17" s="104"/>
    </row>
    <row r="18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E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9.0"/>
    <col customWidth="1" min="2" max="2" width="28.0"/>
    <col customWidth="1" min="3" max="3" width="26.0"/>
    <col customWidth="1" min="4" max="4" width="43.0"/>
    <col customWidth="1" min="5" max="6" width="8.71"/>
  </cols>
  <sheetData>
    <row r="1" ht="39.75" customHeight="1">
      <c r="A1" s="2" t="s">
        <v>1293</v>
      </c>
      <c r="B1" s="3"/>
      <c r="C1" s="3"/>
      <c r="D1" s="4"/>
    </row>
    <row r="2" ht="24.0" customHeight="1">
      <c r="A2" s="9" t="s">
        <v>1294</v>
      </c>
      <c r="B2" s="3"/>
      <c r="C2" s="3"/>
      <c r="D2" s="4"/>
    </row>
    <row r="3" ht="9.75" customHeight="1">
      <c r="A3" s="104"/>
      <c r="B3" s="104"/>
      <c r="C3" s="104"/>
      <c r="D3" s="104"/>
    </row>
    <row r="4" ht="27.75" customHeight="1">
      <c r="A4" s="139" t="s">
        <v>1295</v>
      </c>
      <c r="B4" s="140" t="s">
        <v>1296</v>
      </c>
      <c r="C4" s="140" t="s">
        <v>1297</v>
      </c>
      <c r="D4" s="141" t="s">
        <v>1298</v>
      </c>
    </row>
    <row r="5" ht="21.75" customHeight="1">
      <c r="A5" s="40" t="s">
        <v>1299</v>
      </c>
      <c r="B5" s="68" t="s">
        <v>48</v>
      </c>
      <c r="C5" s="68" t="s">
        <v>452</v>
      </c>
      <c r="D5" s="86" t="s">
        <v>1300</v>
      </c>
    </row>
    <row r="6" ht="21.75" customHeight="1">
      <c r="A6" s="48" t="s">
        <v>1301</v>
      </c>
      <c r="B6" s="73" t="s">
        <v>48</v>
      </c>
      <c r="C6" s="73" t="s">
        <v>321</v>
      </c>
      <c r="D6" s="89" t="s">
        <v>1302</v>
      </c>
    </row>
    <row r="7" ht="21.75" customHeight="1">
      <c r="A7" s="40" t="s">
        <v>1303</v>
      </c>
      <c r="B7" s="68" t="s">
        <v>48</v>
      </c>
      <c r="C7" s="68" t="s">
        <v>1304</v>
      </c>
      <c r="D7" s="86" t="s">
        <v>1305</v>
      </c>
    </row>
    <row r="8" ht="21.75" customHeight="1">
      <c r="A8" s="48" t="s">
        <v>1306</v>
      </c>
      <c r="B8" s="73" t="s">
        <v>48</v>
      </c>
      <c r="C8" s="73" t="s">
        <v>452</v>
      </c>
      <c r="D8" s="89" t="s">
        <v>321</v>
      </c>
    </row>
    <row r="9" ht="21.75" customHeight="1">
      <c r="A9" s="40" t="s">
        <v>1307</v>
      </c>
      <c r="B9" s="68" t="s">
        <v>48</v>
      </c>
      <c r="C9" s="68" t="s">
        <v>1308</v>
      </c>
      <c r="D9" s="86" t="s">
        <v>1309</v>
      </c>
    </row>
    <row r="10" ht="21.75" customHeight="1">
      <c r="A10" s="48" t="s">
        <v>379</v>
      </c>
      <c r="B10" s="73" t="s">
        <v>48</v>
      </c>
      <c r="C10" s="73" t="s">
        <v>1310</v>
      </c>
      <c r="D10" s="89" t="s">
        <v>1311</v>
      </c>
    </row>
    <row r="11" ht="21.75" customHeight="1">
      <c r="A11" s="40" t="s">
        <v>1312</v>
      </c>
      <c r="B11" s="68" t="s">
        <v>48</v>
      </c>
      <c r="C11" s="68" t="s">
        <v>1313</v>
      </c>
      <c r="D11" s="86" t="s">
        <v>1314</v>
      </c>
    </row>
    <row r="12" ht="21.75" customHeight="1">
      <c r="A12" s="48" t="s">
        <v>1315</v>
      </c>
      <c r="B12" s="73" t="s">
        <v>48</v>
      </c>
      <c r="C12" s="73" t="s">
        <v>1316</v>
      </c>
      <c r="D12" s="89" t="s">
        <v>1317</v>
      </c>
    </row>
    <row r="13" ht="21.75" customHeight="1">
      <c r="A13" s="40" t="s">
        <v>1318</v>
      </c>
      <c r="B13" s="68" t="s">
        <v>155</v>
      </c>
      <c r="C13" s="68" t="s">
        <v>161</v>
      </c>
      <c r="D13" s="86" t="s">
        <v>1319</v>
      </c>
    </row>
    <row r="14" ht="21.75" customHeight="1">
      <c r="A14" s="48" t="s">
        <v>1320</v>
      </c>
      <c r="B14" s="73" t="s">
        <v>155</v>
      </c>
      <c r="C14" s="73" t="s">
        <v>161</v>
      </c>
      <c r="D14" s="89" t="s">
        <v>1319</v>
      </c>
    </row>
    <row r="15" ht="21.75" customHeight="1">
      <c r="A15" s="40" t="s">
        <v>1321</v>
      </c>
      <c r="B15" s="68" t="s">
        <v>155</v>
      </c>
      <c r="C15" s="68" t="s">
        <v>161</v>
      </c>
      <c r="D15" s="86" t="s">
        <v>1322</v>
      </c>
    </row>
    <row r="16" ht="21.75" customHeight="1">
      <c r="A16" s="48" t="s">
        <v>1323</v>
      </c>
      <c r="B16" s="73" t="s">
        <v>155</v>
      </c>
      <c r="C16" s="73" t="s">
        <v>156</v>
      </c>
      <c r="D16" s="89" t="s">
        <v>1324</v>
      </c>
    </row>
    <row r="17" ht="21.75" customHeight="1">
      <c r="A17" s="40" t="s">
        <v>1325</v>
      </c>
      <c r="B17" s="68" t="s">
        <v>155</v>
      </c>
      <c r="C17" s="68" t="s">
        <v>375</v>
      </c>
      <c r="D17" s="86" t="s">
        <v>1326</v>
      </c>
    </row>
    <row r="18" ht="21.75" customHeight="1">
      <c r="A18" s="48" t="s">
        <v>1327</v>
      </c>
      <c r="B18" s="73" t="s">
        <v>155</v>
      </c>
      <c r="C18" s="73" t="s">
        <v>1328</v>
      </c>
      <c r="D18" s="89" t="s">
        <v>1329</v>
      </c>
    </row>
    <row r="19" ht="21.75" customHeight="1">
      <c r="A19" s="40" t="s">
        <v>259</v>
      </c>
      <c r="B19" s="68" t="s">
        <v>258</v>
      </c>
      <c r="C19" s="68" t="s">
        <v>259</v>
      </c>
      <c r="D19" s="86" t="s">
        <v>1330</v>
      </c>
    </row>
    <row r="20" ht="21.75" customHeight="1">
      <c r="A20" s="48" t="s">
        <v>691</v>
      </c>
      <c r="B20" s="73" t="s">
        <v>179</v>
      </c>
      <c r="C20" s="73" t="s">
        <v>1331</v>
      </c>
      <c r="D20" s="89" t="s">
        <v>1332</v>
      </c>
    </row>
    <row r="21" ht="21.75" customHeight="1">
      <c r="A21" s="40" t="s">
        <v>1333</v>
      </c>
      <c r="B21" s="68" t="s">
        <v>179</v>
      </c>
      <c r="C21" s="68" t="s">
        <v>1334</v>
      </c>
      <c r="D21" s="86" t="s">
        <v>1335</v>
      </c>
    </row>
    <row r="22" ht="21.75" customHeight="1">
      <c r="A22" s="48" t="s">
        <v>1336</v>
      </c>
      <c r="B22" s="73" t="s">
        <v>179</v>
      </c>
      <c r="C22" s="73" t="s">
        <v>1337</v>
      </c>
      <c r="D22" s="89" t="s">
        <v>1338</v>
      </c>
    </row>
    <row r="23" ht="21.75" customHeight="1">
      <c r="A23" s="40" t="s">
        <v>1339</v>
      </c>
      <c r="B23" s="68" t="s">
        <v>179</v>
      </c>
      <c r="C23" s="68" t="s">
        <v>1340</v>
      </c>
      <c r="D23" s="86" t="s">
        <v>1341</v>
      </c>
    </row>
    <row r="24" ht="21.75" customHeight="1">
      <c r="A24" s="48" t="s">
        <v>333</v>
      </c>
      <c r="B24" s="73" t="s">
        <v>139</v>
      </c>
      <c r="C24" s="73" t="s">
        <v>1342</v>
      </c>
      <c r="D24" s="89" t="s">
        <v>1343</v>
      </c>
    </row>
    <row r="25" ht="21.75" customHeight="1">
      <c r="A25" s="40" t="s">
        <v>1344</v>
      </c>
      <c r="B25" s="68" t="s">
        <v>139</v>
      </c>
      <c r="C25" s="68" t="s">
        <v>1345</v>
      </c>
      <c r="D25" s="86" t="s">
        <v>1346</v>
      </c>
    </row>
    <row r="26" ht="21.75" customHeight="1">
      <c r="A26" s="48" t="s">
        <v>1347</v>
      </c>
      <c r="B26" s="73" t="s">
        <v>139</v>
      </c>
      <c r="C26" s="73" t="s">
        <v>1348</v>
      </c>
      <c r="D26" s="89" t="s">
        <v>1349</v>
      </c>
    </row>
    <row r="27" ht="21.75" customHeight="1">
      <c r="A27" s="40" t="s">
        <v>1350</v>
      </c>
      <c r="B27" s="68" t="s">
        <v>139</v>
      </c>
      <c r="C27" s="68" t="s">
        <v>1351</v>
      </c>
      <c r="D27" s="86" t="s">
        <v>1352</v>
      </c>
    </row>
    <row r="28" ht="21.75" customHeight="1">
      <c r="A28" s="48" t="s">
        <v>1353</v>
      </c>
      <c r="B28" s="73" t="s">
        <v>139</v>
      </c>
      <c r="C28" s="73" t="s">
        <v>1354</v>
      </c>
      <c r="D28" s="89" t="s">
        <v>1355</v>
      </c>
    </row>
    <row r="29" ht="21.75" customHeight="1">
      <c r="A29" s="40" t="s">
        <v>184</v>
      </c>
      <c r="B29" s="68" t="s">
        <v>56</v>
      </c>
      <c r="C29" s="68" t="s">
        <v>1356</v>
      </c>
      <c r="D29" s="86" t="s">
        <v>1357</v>
      </c>
    </row>
    <row r="30" ht="21.75" customHeight="1">
      <c r="A30" s="48" t="s">
        <v>1356</v>
      </c>
      <c r="B30" s="73" t="s">
        <v>56</v>
      </c>
      <c r="C30" s="73" t="s">
        <v>1358</v>
      </c>
      <c r="D30" s="89" t="s">
        <v>1359</v>
      </c>
    </row>
    <row r="31" ht="21.75" customHeight="1">
      <c r="A31" s="40" t="s">
        <v>1360</v>
      </c>
      <c r="B31" s="68" t="s">
        <v>56</v>
      </c>
      <c r="C31" s="68" t="s">
        <v>1361</v>
      </c>
      <c r="D31" s="86" t="s">
        <v>1362</v>
      </c>
    </row>
    <row r="32" ht="21.75" customHeight="1">
      <c r="A32" s="48" t="s">
        <v>1363</v>
      </c>
      <c r="B32" s="73" t="s">
        <v>56</v>
      </c>
      <c r="C32" s="73" t="s">
        <v>1364</v>
      </c>
      <c r="D32" s="89" t="s">
        <v>1365</v>
      </c>
    </row>
    <row r="33" ht="21.75" customHeight="1">
      <c r="A33" s="40" t="s">
        <v>1366</v>
      </c>
      <c r="B33" s="68" t="s">
        <v>56</v>
      </c>
      <c r="C33" s="68" t="s">
        <v>1358</v>
      </c>
      <c r="D33" s="86" t="s">
        <v>1367</v>
      </c>
    </row>
    <row r="34" ht="21.75" customHeight="1">
      <c r="A34" s="48" t="s">
        <v>1361</v>
      </c>
      <c r="B34" s="73" t="s">
        <v>56</v>
      </c>
      <c r="C34" s="73" t="s">
        <v>1361</v>
      </c>
      <c r="D34" s="89" t="s">
        <v>1368</v>
      </c>
    </row>
    <row r="35" ht="21.75" customHeight="1">
      <c r="A35" s="40" t="s">
        <v>1369</v>
      </c>
      <c r="B35" s="68" t="s">
        <v>56</v>
      </c>
      <c r="C35" s="68" t="s">
        <v>1361</v>
      </c>
      <c r="D35" s="86" t="s">
        <v>1370</v>
      </c>
    </row>
    <row r="36" ht="21.75" customHeight="1">
      <c r="A36" s="48" t="s">
        <v>1371</v>
      </c>
      <c r="B36" s="73" t="s">
        <v>56</v>
      </c>
      <c r="C36" s="73" t="s">
        <v>1372</v>
      </c>
      <c r="D36" s="89" t="s">
        <v>1373</v>
      </c>
    </row>
    <row r="37" ht="21.75" customHeight="1">
      <c r="A37" s="40" t="s">
        <v>1374</v>
      </c>
      <c r="B37" s="68" t="s">
        <v>56</v>
      </c>
      <c r="C37" s="68" t="s">
        <v>1372</v>
      </c>
      <c r="D37" s="86" t="s">
        <v>1375</v>
      </c>
    </row>
    <row r="38" ht="21.75" customHeight="1">
      <c r="A38" s="48" t="s">
        <v>372</v>
      </c>
      <c r="B38" s="73" t="s">
        <v>56</v>
      </c>
      <c r="C38" s="73" t="s">
        <v>1358</v>
      </c>
      <c r="D38" s="89" t="s">
        <v>1376</v>
      </c>
    </row>
    <row r="39" ht="21.75" customHeight="1">
      <c r="A39" s="40" t="s">
        <v>1377</v>
      </c>
      <c r="B39" s="68" t="s">
        <v>56</v>
      </c>
      <c r="C39" s="68" t="s">
        <v>1378</v>
      </c>
      <c r="D39" s="86" t="s">
        <v>1379</v>
      </c>
    </row>
    <row r="40" ht="21.75" customHeight="1">
      <c r="A40" s="48" t="s">
        <v>1380</v>
      </c>
      <c r="B40" s="73" t="s">
        <v>56</v>
      </c>
      <c r="C40" s="73" t="s">
        <v>1378</v>
      </c>
      <c r="D40" s="89" t="s">
        <v>1379</v>
      </c>
    </row>
    <row r="41" ht="21.75" customHeight="1">
      <c r="A41" s="40" t="s">
        <v>1381</v>
      </c>
      <c r="B41" s="68" t="s">
        <v>56</v>
      </c>
      <c r="C41" s="68" t="s">
        <v>1382</v>
      </c>
      <c r="D41" s="86" t="s">
        <v>1383</v>
      </c>
    </row>
    <row r="42" ht="21.75" customHeight="1">
      <c r="A42" s="48" t="s">
        <v>1384</v>
      </c>
      <c r="B42" s="73" t="s">
        <v>56</v>
      </c>
      <c r="C42" s="73" t="s">
        <v>1364</v>
      </c>
      <c r="D42" s="89" t="s">
        <v>1385</v>
      </c>
    </row>
    <row r="43" ht="21.75" customHeight="1">
      <c r="A43" s="40" t="s">
        <v>1386</v>
      </c>
      <c r="B43" s="68" t="s">
        <v>56</v>
      </c>
      <c r="C43" s="68" t="s">
        <v>1387</v>
      </c>
      <c r="D43" s="86" t="s">
        <v>1388</v>
      </c>
    </row>
    <row r="44" ht="21.75" customHeight="1">
      <c r="A44" s="48" t="s">
        <v>1389</v>
      </c>
      <c r="B44" s="73" t="s">
        <v>947</v>
      </c>
      <c r="C44" s="73" t="s">
        <v>1390</v>
      </c>
      <c r="D44" s="89" t="s">
        <v>1391</v>
      </c>
    </row>
    <row r="45" ht="21.75" customHeight="1">
      <c r="A45" s="40" t="s">
        <v>1392</v>
      </c>
      <c r="B45" s="68" t="s">
        <v>947</v>
      </c>
      <c r="C45" s="68" t="s">
        <v>1393</v>
      </c>
      <c r="D45" s="86" t="s">
        <v>1394</v>
      </c>
    </row>
    <row r="46" ht="21.75" customHeight="1">
      <c r="A46" s="48" t="s">
        <v>681</v>
      </c>
      <c r="B46" s="73" t="s">
        <v>173</v>
      </c>
      <c r="C46" s="73" t="s">
        <v>501</v>
      </c>
      <c r="D46" s="89" t="s">
        <v>1395</v>
      </c>
    </row>
    <row r="47" ht="21.75" customHeight="1">
      <c r="A47" s="40" t="s">
        <v>1396</v>
      </c>
      <c r="B47" s="68" t="s">
        <v>60</v>
      </c>
      <c r="C47" s="68" t="s">
        <v>1397</v>
      </c>
      <c r="D47" s="86" t="s">
        <v>1398</v>
      </c>
    </row>
    <row r="48" ht="21.75" customHeight="1">
      <c r="A48" s="48" t="s">
        <v>397</v>
      </c>
      <c r="B48" s="73" t="s">
        <v>60</v>
      </c>
      <c r="C48" s="73" t="s">
        <v>1399</v>
      </c>
      <c r="D48" s="89" t="s">
        <v>1400</v>
      </c>
    </row>
    <row r="49" ht="21.75" customHeight="1">
      <c r="A49" s="40" t="s">
        <v>194</v>
      </c>
      <c r="B49" s="68" t="s">
        <v>194</v>
      </c>
      <c r="C49" s="68" t="s">
        <v>192</v>
      </c>
      <c r="D49" s="86" t="s">
        <v>1401</v>
      </c>
    </row>
    <row r="50" ht="21.75" customHeight="1">
      <c r="A50" s="48"/>
      <c r="B50" s="73"/>
      <c r="C50" s="73"/>
      <c r="D50" s="89"/>
    </row>
    <row r="51" ht="21.75" customHeight="1">
      <c r="A51" s="40"/>
      <c r="B51" s="68"/>
      <c r="C51" s="68"/>
      <c r="D51" s="86"/>
    </row>
    <row r="52" ht="21.75" customHeight="1">
      <c r="A52" s="48"/>
      <c r="B52" s="73"/>
      <c r="C52" s="73"/>
      <c r="D52" s="89"/>
    </row>
    <row r="53" ht="21.75" customHeight="1">
      <c r="A53" s="40"/>
      <c r="B53" s="68"/>
      <c r="C53" s="68"/>
      <c r="D53" s="86"/>
    </row>
    <row r="54" ht="21.75" customHeight="1">
      <c r="A54" s="48"/>
      <c r="B54" s="73"/>
      <c r="C54" s="73"/>
      <c r="D54" s="89"/>
    </row>
    <row r="55" ht="21.75" customHeight="1">
      <c r="A55" s="40"/>
      <c r="B55" s="68"/>
      <c r="C55" s="68"/>
      <c r="D55" s="86"/>
    </row>
    <row r="56" ht="21.75" customHeight="1">
      <c r="A56" s="48"/>
      <c r="B56" s="73"/>
      <c r="C56" s="73"/>
      <c r="D56" s="89"/>
    </row>
    <row r="57" ht="21.75" customHeight="1">
      <c r="A57" s="40"/>
      <c r="B57" s="68"/>
      <c r="C57" s="68"/>
      <c r="D57" s="86"/>
    </row>
    <row r="58" ht="21.75" customHeight="1">
      <c r="A58" s="48"/>
      <c r="B58" s="73"/>
      <c r="C58" s="73"/>
      <c r="D58" s="89"/>
    </row>
    <row r="59" ht="21.75" customHeight="1">
      <c r="A59" s="80"/>
      <c r="B59" s="83"/>
      <c r="C59" s="83"/>
      <c r="D59" s="24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3.0"/>
    <col customWidth="1" min="2" max="2" width="95.0"/>
    <col customWidth="1" min="3" max="6" width="8.71"/>
  </cols>
  <sheetData>
    <row r="1" ht="39.75" customHeight="1">
      <c r="A1" s="2" t="s">
        <v>1402</v>
      </c>
      <c r="B1" s="4"/>
    </row>
    <row r="2" ht="24.0" customHeight="1">
      <c r="A2" s="9" t="s">
        <v>1403</v>
      </c>
      <c r="B2" s="4"/>
    </row>
    <row r="3" ht="9.75" customHeight="1">
      <c r="A3" s="104"/>
      <c r="B3" s="104"/>
    </row>
    <row r="4" ht="27.75" customHeight="1">
      <c r="A4" s="139" t="s">
        <v>1404</v>
      </c>
      <c r="B4" s="141" t="s">
        <v>1405</v>
      </c>
    </row>
    <row r="5" ht="27.75" customHeight="1">
      <c r="A5" s="249" t="s">
        <v>1406</v>
      </c>
      <c r="B5" s="250" t="s">
        <v>1407</v>
      </c>
    </row>
    <row r="6" ht="27.75" customHeight="1">
      <c r="A6" s="251" t="s">
        <v>1408</v>
      </c>
      <c r="B6" s="252" t="s">
        <v>1409</v>
      </c>
    </row>
    <row r="7" ht="27.75" customHeight="1">
      <c r="A7" s="249" t="s">
        <v>1410</v>
      </c>
      <c r="B7" s="250" t="s">
        <v>1411</v>
      </c>
    </row>
    <row r="8" ht="27.75" customHeight="1">
      <c r="A8" s="251" t="s">
        <v>1412</v>
      </c>
      <c r="B8" s="252" t="s">
        <v>1413</v>
      </c>
    </row>
    <row r="9" ht="27.75" customHeight="1">
      <c r="A9" s="249" t="s">
        <v>1414</v>
      </c>
      <c r="B9" s="250" t="s">
        <v>1415</v>
      </c>
    </row>
    <row r="10" ht="27.75" customHeight="1">
      <c r="A10" s="251" t="s">
        <v>1416</v>
      </c>
      <c r="B10" s="252" t="s">
        <v>1417</v>
      </c>
    </row>
    <row r="11" ht="27.75" customHeight="1">
      <c r="A11" s="249" t="s">
        <v>1418</v>
      </c>
      <c r="B11" s="250" t="s">
        <v>1419</v>
      </c>
    </row>
    <row r="12" ht="27.75" customHeight="1">
      <c r="A12" s="251" t="s">
        <v>1420</v>
      </c>
      <c r="B12" s="252" t="s">
        <v>1421</v>
      </c>
    </row>
    <row r="13" ht="27.75" customHeight="1">
      <c r="A13" s="253" t="s">
        <v>1422</v>
      </c>
      <c r="B13" s="254" t="s">
        <v>1423</v>
      </c>
    </row>
    <row r="14">
      <c r="A14" s="104"/>
      <c r="B14" s="10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orientation="landscape"/>
  <drawing r:id="rId1"/>
</worksheet>
</file>