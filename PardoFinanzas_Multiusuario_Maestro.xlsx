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USUARIOS" sheetId="1" state="visible" r:id="rId1"/>
    <sheet name="02_MOVIMIENTOS" sheetId="2" state="visible" r:id="rId2"/>
    <sheet name="03_CONTROL_FIJOS" sheetId="3" state="visible" r:id="rId3"/>
    <sheet name="04_DASHBOARD_RESUMEN" sheetId="4" state="visible" r:id="rId4"/>
    <sheet name="05_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0F172A"/>
      <sz val="11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color rgb="0064748B"/>
      <sz val="10"/>
    </font>
    <font>
      <name val="Calibri"/>
      <b val="1"/>
      <color rgb="0010B981"/>
      <sz val="16"/>
    </font>
    <font>
      <name val="Calibri"/>
      <b val="1"/>
      <color rgb="00E11D48"/>
      <sz val="16"/>
    </font>
    <font>
      <name val="Calibri"/>
      <b val="1"/>
      <color rgb="000284C7"/>
      <sz val="16"/>
    </font>
    <font>
      <name val="Calibri"/>
      <b val="1"/>
      <color rgb="00D97706"/>
      <sz val="16"/>
    </font>
    <font>
      <name val="Calibri"/>
      <b val="1"/>
      <color rgb="00090D14"/>
      <sz val="13"/>
    </font>
  </fonts>
  <fills count="9">
    <fill>
      <patternFill/>
    </fill>
    <fill>
      <patternFill patternType="gray125"/>
    </fill>
    <fill>
      <patternFill patternType="solid">
        <fgColor rgb="00090D14"/>
        <bgColor rgb="00090D14"/>
      </patternFill>
    </fill>
    <fill>
      <patternFill patternType="solid">
        <fgColor rgb="00121722"/>
        <bgColor rgb="00121722"/>
      </patternFill>
    </fill>
    <fill>
      <patternFill patternType="solid">
        <fgColor rgb="00D1FAE5"/>
        <bgColor rgb="00D1FAE5"/>
      </patternFill>
    </fill>
    <fill>
      <patternFill patternType="solid">
        <fgColor rgb="00065F46"/>
        <bgColor rgb="00065F46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164" fontId="10" fillId="7" borderId="0" applyAlignment="1" pivotButton="0" quotePrefix="0" xfId="0">
      <alignment horizontal="center" vertical="center"/>
    </xf>
    <xf numFmtId="165" fontId="11" fillId="7" borderId="0" applyAlignment="1" pivotButton="0" quotePrefix="0" xfId="0">
      <alignment horizontal="center" vertical="center"/>
    </xf>
    <xf numFmtId="0" fontId="12" fillId="0" borderId="0" pivotButton="0" quotePrefix="0" xfId="0"/>
    <xf numFmtId="165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pivotButton="0" quotePrefix="0" xfId="0"/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2" customWidth="1" min="3" max="3"/>
    <col width="23" customWidth="1" min="4" max="4"/>
    <col width="21" customWidth="1" min="5" max="5"/>
    <col width="28" customWidth="1" min="6" max="6"/>
    <col width="12" customWidth="1" min="7" max="7"/>
  </cols>
  <sheetData>
    <row r="1">
      <c r="A1" s="1" t="inlineStr">
        <is>
          <t xml:space="preserve">  PARDOFINANZAS • DIRECTORIO MULTIUSUARIO DE PARTICIPANTES</t>
        </is>
      </c>
    </row>
    <row r="2"/>
    <row r="3"/>
    <row r="4">
      <c r="A4" s="2" t="inlineStr">
        <is>
          <t>ID_USUARIO</t>
        </is>
      </c>
      <c r="B4" s="2" t="inlineStr">
        <is>
          <t>NOMBRE_COMPLETO</t>
        </is>
      </c>
      <c r="C4" s="2" t="inlineStr">
        <is>
          <t>ALIAS</t>
        </is>
      </c>
      <c r="D4" s="2" t="inlineStr">
        <is>
          <t>ROL</t>
        </is>
      </c>
      <c r="E4" s="2" t="inlineStr">
        <is>
          <t>SALDO_INICIAL_COP</t>
        </is>
      </c>
      <c r="F4" s="2" t="inlineStr">
        <is>
          <t>EMAIL_NOTIFICACIONES</t>
        </is>
      </c>
      <c r="G4" s="2" t="inlineStr">
        <is>
          <t>ESTADO</t>
        </is>
      </c>
    </row>
    <row r="5">
      <c r="A5" s="3" t="inlineStr">
        <is>
          <t>U-001</t>
        </is>
      </c>
      <c r="B5" s="4" t="inlineStr">
        <is>
          <t>Marlon Muñoz Pardo</t>
        </is>
      </c>
      <c r="C5" s="4" t="inlineStr">
        <is>
          <t>Marlon</t>
        </is>
      </c>
      <c r="D5" s="5" t="inlineStr">
        <is>
          <t>Administrador (Pro)</t>
        </is>
      </c>
      <c r="E5" s="6" t="n">
        <v>1065366</v>
      </c>
      <c r="F5" s="4" t="inlineStr">
        <is>
          <t>marlon@pardofinanzas.com</t>
        </is>
      </c>
      <c r="G5" s="7" t="inlineStr">
        <is>
          <t>ACTIVO</t>
        </is>
      </c>
    </row>
    <row r="6">
      <c r="A6" s="3" t="inlineStr">
        <is>
          <t>U-002</t>
        </is>
      </c>
      <c r="B6" s="4" t="inlineStr">
        <is>
          <t>Carlos Restrepo</t>
        </is>
      </c>
      <c r="C6" s="4" t="inlineStr">
        <is>
          <t>Carlos</t>
        </is>
      </c>
      <c r="D6" s="5" t="inlineStr">
        <is>
          <t>Miembro</t>
        </is>
      </c>
      <c r="E6" s="6" t="n">
        <v>500000</v>
      </c>
      <c r="F6" s="4" t="inlineStr">
        <is>
          <t>carlos.r@gmail.com</t>
        </is>
      </c>
      <c r="G6" s="7" t="inlineStr">
        <is>
          <t>ACTIVO</t>
        </is>
      </c>
    </row>
    <row r="7">
      <c r="A7" s="3" t="inlineStr">
        <is>
          <t>U-003</t>
        </is>
      </c>
      <c r="B7" s="4" t="inlineStr">
        <is>
          <t>Laura Morales</t>
        </is>
      </c>
      <c r="C7" s="4" t="inlineStr">
        <is>
          <t>Laura</t>
        </is>
      </c>
      <c r="D7" s="5" t="inlineStr">
        <is>
          <t>Miembro</t>
        </is>
      </c>
      <c r="E7" s="6" t="n">
        <v>750000</v>
      </c>
      <c r="F7" s="4" t="inlineStr">
        <is>
          <t>laura.m@hotmail.com</t>
        </is>
      </c>
      <c r="G7" s="7" t="inlineStr">
        <is>
          <t>ACTIVO</t>
        </is>
      </c>
    </row>
    <row r="8">
      <c r="A8" s="3" t="inlineStr">
        <is>
          <t>U-004</t>
        </is>
      </c>
      <c r="B8" s="4" t="inlineStr">
        <is>
          <t>Andrés Gómez</t>
        </is>
      </c>
      <c r="C8" s="4" t="inlineStr">
        <is>
          <t>Andrés</t>
        </is>
      </c>
      <c r="D8" s="5" t="inlineStr">
        <is>
          <t>Miembro</t>
        </is>
      </c>
      <c r="E8" s="6" t="n">
        <v>620000</v>
      </c>
      <c r="F8" s="4" t="inlineStr">
        <is>
          <t>andres.g@gmail.com</t>
        </is>
      </c>
      <c r="G8" s="7" t="inlineStr">
        <is>
          <t>ACTIVO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2" customWidth="1" min="3" max="3"/>
    <col width="14" customWidth="1" min="4" max="4"/>
    <col width="12" customWidth="1" min="5" max="5"/>
    <col width="19" customWidth="1" min="6" max="6"/>
    <col width="28" customWidth="1" min="7" max="7"/>
    <col width="13" customWidth="1" min="8" max="8"/>
    <col width="18" customWidth="1" min="9" max="9"/>
    <col width="23" customWidth="1" min="10" max="10"/>
    <col width="14" customWidth="1" min="11" max="11"/>
  </cols>
  <sheetData>
    <row r="1">
      <c r="A1" s="1" t="inlineStr">
        <is>
          <t xml:space="preserve">  LIBRO MAESTRO DE MOVIMIENTOS FINANCIEROS MULTIUSUARIO</t>
        </is>
      </c>
    </row>
    <row r="2"/>
    <row r="3"/>
    <row r="4">
      <c r="A4" s="8" t="inlineStr">
        <is>
          <t>ID_MOV</t>
        </is>
      </c>
      <c r="B4" s="8" t="inlineStr">
        <is>
          <t>ID_USUARIO</t>
        </is>
      </c>
      <c r="C4" s="8" t="inlineStr">
        <is>
          <t>USUARIO</t>
        </is>
      </c>
      <c r="D4" s="8" t="inlineStr">
        <is>
          <t>FECHA</t>
        </is>
      </c>
      <c r="E4" s="8" t="inlineStr">
        <is>
          <t>TIPO</t>
        </is>
      </c>
      <c r="F4" s="8" t="inlineStr">
        <is>
          <t>CATEGORIA</t>
        </is>
      </c>
      <c r="G4" s="8" t="inlineStr">
        <is>
          <t>CONCEPTO_DESCRIPCION</t>
        </is>
      </c>
      <c r="H4" s="8" t="inlineStr">
        <is>
          <t>VALOR_COP</t>
        </is>
      </c>
      <c r="I4" s="8" t="inlineStr">
        <is>
          <t>MEDIO_PAGO</t>
        </is>
      </c>
      <c r="J4" s="8" t="inlineStr">
        <is>
          <t>COMERCIO_DESTINO</t>
        </is>
      </c>
      <c r="K4" s="8" t="inlineStr">
        <is>
          <t>ESTADO</t>
        </is>
      </c>
    </row>
    <row r="5">
      <c r="A5" s="5" t="inlineStr">
        <is>
          <t>M-1001</t>
        </is>
      </c>
      <c r="B5" s="5" t="inlineStr">
        <is>
          <t>U-001</t>
        </is>
      </c>
      <c r="C5" s="4">
        <f>IFERROR(VLOOKUP(B5, '01_USUARIOS'!$A$5:$B$20, 2, FALSE), "-")</f>
        <v/>
      </c>
      <c r="D5" s="5" t="inlineStr">
        <is>
          <t>2026-10-01</t>
        </is>
      </c>
      <c r="E5" s="5" t="inlineStr">
        <is>
          <t>Ingreso</t>
        </is>
      </c>
      <c r="F5" s="4" t="inlineStr">
        <is>
          <t>Salario</t>
        </is>
      </c>
      <c r="G5" s="4" t="inlineStr">
        <is>
          <t>Quincena Nómina Colanta</t>
        </is>
      </c>
      <c r="H5" s="6" t="n">
        <v>1850000</v>
      </c>
      <c r="I5" s="5" t="inlineStr">
        <is>
          <t>AyC Colanta</t>
        </is>
      </c>
      <c r="J5" s="4" t="inlineStr">
        <is>
          <t>Cooperativa Colanta</t>
        </is>
      </c>
      <c r="K5" s="7" t="inlineStr">
        <is>
          <t>CONFIRMADO</t>
        </is>
      </c>
    </row>
    <row r="6">
      <c r="A6" s="5" t="inlineStr">
        <is>
          <t>M-1002</t>
        </is>
      </c>
      <c r="B6" s="5" t="inlineStr">
        <is>
          <t>U-001</t>
        </is>
      </c>
      <c r="C6" s="4">
        <f>IFERROR(VLOOKUP(B6, '01_USUARIOS'!$A$5:$B$20, 2, FALSE), "-")</f>
        <v/>
      </c>
      <c r="D6" s="5" t="inlineStr">
        <is>
          <t>2026-10-02</t>
        </is>
      </c>
      <c r="E6" s="5" t="inlineStr">
        <is>
          <t>Gasto</t>
        </is>
      </c>
      <c r="F6" s="4" t="inlineStr">
        <is>
          <t>Alimentación</t>
        </is>
      </c>
      <c r="G6" s="4" t="inlineStr">
        <is>
          <t>Mercado Éxito mensual</t>
        </is>
      </c>
      <c r="H6" s="6" t="n">
        <v>320000</v>
      </c>
      <c r="I6" s="5" t="inlineStr">
        <is>
          <t>Nequi</t>
        </is>
      </c>
      <c r="J6" s="4" t="inlineStr">
        <is>
          <t>Éxito Colombia</t>
        </is>
      </c>
      <c r="K6" s="7" t="inlineStr">
        <is>
          <t>CONFIRMADO</t>
        </is>
      </c>
    </row>
    <row r="7">
      <c r="A7" s="5" t="inlineStr">
        <is>
          <t>M-1003</t>
        </is>
      </c>
      <c r="B7" s="5" t="inlineStr">
        <is>
          <t>U-001</t>
        </is>
      </c>
      <c r="C7" s="4">
        <f>IFERROR(VLOOKUP(B7, '01_USUARIOS'!$A$5:$B$20, 2, FALSE), "-")</f>
        <v/>
      </c>
      <c r="D7" s="5" t="inlineStr">
        <is>
          <t>2026-10-03</t>
        </is>
      </c>
      <c r="E7" s="5" t="inlineStr">
        <is>
          <t>Gasto</t>
        </is>
      </c>
      <c r="F7" s="4" t="inlineStr">
        <is>
          <t>Transporte/Moto</t>
        </is>
      </c>
      <c r="G7" s="4" t="inlineStr">
        <is>
          <t>Tanqueada Gasolina Extra</t>
        </is>
      </c>
      <c r="H7" s="6" t="n">
        <v>35000</v>
      </c>
      <c r="I7" s="5" t="inlineStr">
        <is>
          <t>Efectivo</t>
        </is>
      </c>
      <c r="J7" s="4" t="inlineStr">
        <is>
          <t>Estación Terpel</t>
        </is>
      </c>
      <c r="K7" s="7" t="inlineStr">
        <is>
          <t>CONFIRMADO</t>
        </is>
      </c>
    </row>
    <row r="8">
      <c r="A8" s="5" t="inlineStr">
        <is>
          <t>M-1004</t>
        </is>
      </c>
      <c r="B8" s="5" t="inlineStr">
        <is>
          <t>U-001</t>
        </is>
      </c>
      <c r="C8" s="4">
        <f>IFERROR(VLOOKUP(B8, '01_USUARIOS'!$A$5:$B$20, 2, FALSE), "-")</f>
        <v/>
      </c>
      <c r="D8" s="5" t="inlineStr">
        <is>
          <t>2026-10-15</t>
        </is>
      </c>
      <c r="E8" s="5" t="inlineStr">
        <is>
          <t>Gasto</t>
        </is>
      </c>
      <c r="F8" s="4" t="inlineStr">
        <is>
          <t>Servicios</t>
        </is>
      </c>
      <c r="G8" s="4" t="inlineStr">
        <is>
          <t>Factura EPM Energía</t>
        </is>
      </c>
      <c r="H8" s="6" t="n">
        <v>197000</v>
      </c>
      <c r="I8" s="5" t="inlineStr">
        <is>
          <t>AyC Colanta</t>
        </is>
      </c>
      <c r="J8" s="4" t="inlineStr">
        <is>
          <t>EPM Medellín</t>
        </is>
      </c>
      <c r="K8" s="7" t="inlineStr">
        <is>
          <t>CONFIRMADO</t>
        </is>
      </c>
    </row>
    <row r="9">
      <c r="A9" s="5" t="inlineStr">
        <is>
          <t>M-1005</t>
        </is>
      </c>
      <c r="B9" s="5" t="inlineStr">
        <is>
          <t>U-002</t>
        </is>
      </c>
      <c r="C9" s="4">
        <f>IFERROR(VLOOKUP(B9, '01_USUARIOS'!$A$5:$B$20, 2, FALSE), "-")</f>
        <v/>
      </c>
      <c r="D9" s="5" t="inlineStr">
        <is>
          <t>2026-10-01</t>
        </is>
      </c>
      <c r="E9" s="5" t="inlineStr">
        <is>
          <t>Ingreso</t>
        </is>
      </c>
      <c r="F9" s="4" t="inlineStr">
        <is>
          <t>Salario</t>
        </is>
      </c>
      <c r="G9" s="4" t="inlineStr">
        <is>
          <t>Salario Mensual Carlos</t>
        </is>
      </c>
      <c r="H9" s="6" t="n">
        <v>2200000</v>
      </c>
      <c r="I9" s="5" t="inlineStr">
        <is>
          <t>Bancolombia</t>
        </is>
      </c>
      <c r="J9" s="4" t="inlineStr">
        <is>
          <t>Empresa Tech</t>
        </is>
      </c>
      <c r="K9" s="7" t="inlineStr">
        <is>
          <t>CONFIRMADO</t>
        </is>
      </c>
    </row>
    <row r="10">
      <c r="A10" s="5" t="inlineStr">
        <is>
          <t>M-1006</t>
        </is>
      </c>
      <c r="B10" s="5" t="inlineStr">
        <is>
          <t>U-002</t>
        </is>
      </c>
      <c r="C10" s="4">
        <f>IFERROR(VLOOKUP(B10, '01_USUARIOS'!$A$5:$B$20, 2, FALSE), "-")</f>
        <v/>
      </c>
      <c r="D10" s="5" t="inlineStr">
        <is>
          <t>2026-10-04</t>
        </is>
      </c>
      <c r="E10" s="5" t="inlineStr">
        <is>
          <t>Gasto</t>
        </is>
      </c>
      <c r="F10" s="4" t="inlineStr">
        <is>
          <t>Alimentación</t>
        </is>
      </c>
      <c r="G10" s="4" t="inlineStr">
        <is>
          <t>Almuerzo Restaurante</t>
        </is>
      </c>
      <c r="H10" s="6" t="n">
        <v>28000</v>
      </c>
      <c r="I10" s="5" t="inlineStr">
        <is>
          <t>Nequi</t>
        </is>
      </c>
      <c r="J10" s="4" t="inlineStr">
        <is>
          <t>Restaurante Central</t>
        </is>
      </c>
      <c r="K10" s="7" t="inlineStr">
        <is>
          <t>CONFIRMADO</t>
        </is>
      </c>
    </row>
    <row r="11">
      <c r="A11" s="5" t="inlineStr">
        <is>
          <t>M-1007</t>
        </is>
      </c>
      <c r="B11" s="5" t="inlineStr">
        <is>
          <t>U-003</t>
        </is>
      </c>
      <c r="C11" s="4">
        <f>IFERROR(VLOOKUP(B11, '01_USUARIOS'!$A$5:$B$20, 2, FALSE), "-")</f>
        <v/>
      </c>
      <c r="D11" s="5" t="inlineStr">
        <is>
          <t>2026-10-01</t>
        </is>
      </c>
      <c r="E11" s="5" t="inlineStr">
        <is>
          <t>Ingreso</t>
        </is>
      </c>
      <c r="F11" s="4" t="inlineStr">
        <is>
          <t>Salario</t>
        </is>
      </c>
      <c r="G11" s="4" t="inlineStr">
        <is>
          <t>Honorarios Laura</t>
        </is>
      </c>
      <c r="H11" s="6" t="n">
        <v>1600000</v>
      </c>
      <c r="I11" s="5" t="inlineStr">
        <is>
          <t>Bancolombia</t>
        </is>
      </c>
      <c r="J11" s="4" t="inlineStr">
        <is>
          <t>Consultoría SAS</t>
        </is>
      </c>
      <c r="K11" s="7" t="inlineStr">
        <is>
          <t>CONFIRMADO</t>
        </is>
      </c>
    </row>
    <row r="12">
      <c r="A12" s="5" t="inlineStr">
        <is>
          <t>M-1008</t>
        </is>
      </c>
      <c r="B12" s="5" t="inlineStr">
        <is>
          <t>U-003</t>
        </is>
      </c>
      <c r="C12" s="4">
        <f>IFERROR(VLOOKUP(B12, '01_USUARIOS'!$A$5:$B$20, 2, FALSE), "-")</f>
        <v/>
      </c>
      <c r="D12" s="5" t="inlineStr">
        <is>
          <t>2026-10-06</t>
        </is>
      </c>
      <c r="E12" s="5" t="inlineStr">
        <is>
          <t>Gasto</t>
        </is>
      </c>
      <c r="F12" s="4" t="inlineStr">
        <is>
          <t>Salud/Gym</t>
        </is>
      </c>
      <c r="G12" s="4" t="inlineStr">
        <is>
          <t>Mensualidad Smart Fit</t>
        </is>
      </c>
      <c r="H12" s="6" t="n">
        <v>99000</v>
      </c>
      <c r="I12" s="5" t="inlineStr">
        <is>
          <t>Tarjeta Débito</t>
        </is>
      </c>
      <c r="J12" s="4" t="inlineStr">
        <is>
          <t>Smart Fit</t>
        </is>
      </c>
      <c r="K12" s="7" t="inlineStr">
        <is>
          <t>CONFIRMADO</t>
        </is>
      </c>
    </row>
    <row r="13">
      <c r="A13" s="5" t="inlineStr">
        <is>
          <t>M-1009</t>
        </is>
      </c>
      <c r="B13" s="5" t="inlineStr">
        <is>
          <t>U-004</t>
        </is>
      </c>
      <c r="C13" s="4">
        <f>IFERROR(VLOOKUP(B13, '01_USUARIOS'!$A$5:$B$20, 2, FALSE), "-")</f>
        <v/>
      </c>
      <c r="D13" s="5" t="inlineStr">
        <is>
          <t>2026-10-01</t>
        </is>
      </c>
      <c r="E13" s="5" t="inlineStr">
        <is>
          <t>Ingreso</t>
        </is>
      </c>
      <c r="F13" s="4" t="inlineStr">
        <is>
          <t>Salario</t>
        </is>
      </c>
      <c r="G13" s="4" t="inlineStr">
        <is>
          <t>Pago Quincenal Andrés</t>
        </is>
      </c>
      <c r="H13" s="6" t="n">
        <v>1400000</v>
      </c>
      <c r="I13" s="5" t="inlineStr">
        <is>
          <t>Nequi</t>
        </is>
      </c>
      <c r="J13" s="4" t="inlineStr">
        <is>
          <t>Comercio Global</t>
        </is>
      </c>
      <c r="K13" s="7" t="inlineStr">
        <is>
          <t>CONFIRMADO</t>
        </is>
      </c>
    </row>
    <row r="14">
      <c r="A14" s="5" t="inlineStr">
        <is>
          <t>M-1010</t>
        </is>
      </c>
      <c r="B14" s="5" t="inlineStr">
        <is>
          <t>U-004</t>
        </is>
      </c>
      <c r="C14" s="4">
        <f>IFERROR(VLOOKUP(B14, '01_USUARIOS'!$A$5:$B$20, 2, FALSE), "-")</f>
        <v/>
      </c>
      <c r="D14" s="5" t="inlineStr">
        <is>
          <t>2026-10-08</t>
        </is>
      </c>
      <c r="E14" s="5" t="inlineStr">
        <is>
          <t>Gasto</t>
        </is>
      </c>
      <c r="F14" s="4" t="inlineStr">
        <is>
          <t>Ocio</t>
        </is>
      </c>
      <c r="G14" s="4" t="inlineStr">
        <is>
          <t>Salida Cine y Cena</t>
        </is>
      </c>
      <c r="H14" s="6" t="n">
        <v>65000</v>
      </c>
      <c r="I14" s="5" t="inlineStr">
        <is>
          <t>Efectivo</t>
        </is>
      </c>
      <c r="J14" s="4" t="inlineStr">
        <is>
          <t>Cine Colombia</t>
        </is>
      </c>
      <c r="K14" s="7" t="inlineStr">
        <is>
          <t>CONFIRMADO</t>
        </is>
      </c>
    </row>
  </sheetData>
  <mergeCells count="1"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5" customWidth="1" min="4" max="4"/>
    <col width="14" customWidth="1" min="5" max="5"/>
    <col width="17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 xml:space="preserve">  CONTROL DE GASTOS FIJOS (QUINCENA 1 - DÍA 15 vs FIN DE MES - DÍA 30)</t>
        </is>
      </c>
    </row>
    <row r="2"/>
    <row r="3"/>
    <row r="4">
      <c r="A4" s="2" t="inlineStr">
        <is>
          <t>ID_FIJO</t>
        </is>
      </c>
      <c r="B4" s="2" t="inlineStr">
        <is>
          <t>ID_USUARIO</t>
        </is>
      </c>
      <c r="C4" s="2" t="inlineStr">
        <is>
          <t>USUARIO</t>
        </is>
      </c>
      <c r="D4" s="2" t="inlineStr">
        <is>
          <t>CONCEPTO_FIJO</t>
        </is>
      </c>
      <c r="E4" s="2" t="inlineStr">
        <is>
          <t>CATEGORIA</t>
        </is>
      </c>
      <c r="F4" s="2" t="inlineStr">
        <is>
          <t>CUOTA_MENSUAL</t>
        </is>
      </c>
      <c r="G4" s="2" t="inlineStr">
        <is>
          <t>DIA_PAGO</t>
        </is>
      </c>
      <c r="H4" s="2" t="inlineStr">
        <is>
          <t>QUINCENA</t>
        </is>
      </c>
      <c r="I4" s="2" t="inlineStr">
        <is>
          <t>ESTADO_MES</t>
        </is>
      </c>
    </row>
    <row r="5">
      <c r="A5" s="5" t="inlineStr">
        <is>
          <t>F-01</t>
        </is>
      </c>
      <c r="B5" s="5" t="inlineStr">
        <is>
          <t>U-001</t>
        </is>
      </c>
      <c r="C5" s="4">
        <f>IFERROR(VLOOKUP(B5, '01_USUARIOS'!$A$5:$B$20, 2, FALSE), "-")</f>
        <v/>
      </c>
      <c r="D5" s="4" t="inlineStr">
        <is>
          <t>EPM Energía</t>
        </is>
      </c>
      <c r="E5" s="4" t="inlineStr">
        <is>
          <t>Servicios</t>
        </is>
      </c>
      <c r="F5" s="6" t="n">
        <v>197000</v>
      </c>
      <c r="G5" s="5" t="n">
        <v>15</v>
      </c>
      <c r="H5" s="5">
        <f>IF(G5&lt;=15, "Quincena 1 (Día 15)", "Fin de Mes (Día 30)")</f>
        <v/>
      </c>
      <c r="I5" s="7" t="inlineStr">
        <is>
          <t>Pagado</t>
        </is>
      </c>
    </row>
    <row r="6">
      <c r="A6" s="5" t="inlineStr">
        <is>
          <t>F-02</t>
        </is>
      </c>
      <c r="B6" s="5" t="inlineStr">
        <is>
          <t>U-001</t>
        </is>
      </c>
      <c r="C6" s="4">
        <f>IFERROR(VLOOKUP(B6, '01_USUARIOS'!$A$5:$B$20, 2, FALSE), "-")</f>
        <v/>
      </c>
      <c r="D6" s="4" t="inlineStr">
        <is>
          <t>Plan Celular Tigo</t>
        </is>
      </c>
      <c r="E6" s="4" t="inlineStr">
        <is>
          <t>Servicios</t>
        </is>
      </c>
      <c r="F6" s="6" t="n">
        <v>55000</v>
      </c>
      <c r="G6" s="5" t="n">
        <v>15</v>
      </c>
      <c r="H6" s="5">
        <f>IF(G6&lt;=15, "Quincena 1 (Día 15)", "Fin de Mes (Día 30)")</f>
        <v/>
      </c>
      <c r="I6" s="7" t="inlineStr">
        <is>
          <t>Pagado</t>
        </is>
      </c>
    </row>
    <row r="7">
      <c r="A7" s="5" t="inlineStr">
        <is>
          <t>F-03</t>
        </is>
      </c>
      <c r="B7" s="5" t="inlineStr">
        <is>
          <t>U-001</t>
        </is>
      </c>
      <c r="C7" s="4">
        <f>IFERROR(VLOOKUP(B7, '01_USUARIOS'!$A$5:$B$20, 2, FALSE), "-")</f>
        <v/>
      </c>
      <c r="D7" s="4" t="inlineStr">
        <is>
          <t>Seguro Moto SURA</t>
        </is>
      </c>
      <c r="E7" s="4" t="inlineStr">
        <is>
          <t>Transporte</t>
        </is>
      </c>
      <c r="F7" s="6" t="n">
        <v>135000</v>
      </c>
      <c r="G7" s="5" t="n">
        <v>15</v>
      </c>
      <c r="H7" s="5">
        <f>IF(G7&lt;=15, "Quincena 1 (Día 15)", "Fin de Mes (Día 30)")</f>
        <v/>
      </c>
      <c r="I7" s="9" t="inlineStr">
        <is>
          <t>Pendiente</t>
        </is>
      </c>
    </row>
    <row r="8">
      <c r="A8" s="5" t="inlineStr">
        <is>
          <t>F-04</t>
        </is>
      </c>
      <c r="B8" s="5" t="inlineStr">
        <is>
          <t>U-001</t>
        </is>
      </c>
      <c r="C8" s="4">
        <f>IFERROR(VLOOKUP(B8, '01_USUARIOS'!$A$5:$B$20, 2, FALSE), "-")</f>
        <v/>
      </c>
      <c r="D8" s="4" t="inlineStr">
        <is>
          <t>Arriendo Medellín</t>
        </is>
      </c>
      <c r="E8" s="4" t="inlineStr">
        <is>
          <t>Vivienda</t>
        </is>
      </c>
      <c r="F8" s="6" t="n">
        <v>920000</v>
      </c>
      <c r="G8" s="5" t="n">
        <v>30</v>
      </c>
      <c r="H8" s="5">
        <f>IF(G8&lt;=15, "Quincena 1 (Día 15)", "Fin de Mes (Día 30)")</f>
        <v/>
      </c>
      <c r="I8" s="7" t="inlineStr">
        <is>
          <t>Pagado</t>
        </is>
      </c>
    </row>
    <row r="9">
      <c r="A9" s="5" t="inlineStr">
        <is>
          <t>F-05</t>
        </is>
      </c>
      <c r="B9" s="5" t="inlineStr">
        <is>
          <t>U-001</t>
        </is>
      </c>
      <c r="C9" s="4">
        <f>IFERROR(VLOOKUP(B9, '01_USUARIOS'!$A$5:$B$20, 2, FALSE), "-")</f>
        <v/>
      </c>
      <c r="D9" s="4" t="inlineStr">
        <is>
          <t>Internet Fibra Óptica</t>
        </is>
      </c>
      <c r="E9" s="4" t="inlineStr">
        <is>
          <t>Servicios</t>
        </is>
      </c>
      <c r="F9" s="6" t="n">
        <v>105000</v>
      </c>
      <c r="G9" s="5" t="n">
        <v>30</v>
      </c>
      <c r="H9" s="5">
        <f>IF(G9&lt;=15, "Quincena 1 (Día 15)", "Fin de Mes (Día 30)")</f>
        <v/>
      </c>
      <c r="I9" s="9" t="inlineStr">
        <is>
          <t>Pendiente</t>
        </is>
      </c>
    </row>
    <row r="10">
      <c r="A10" s="5" t="inlineStr">
        <is>
          <t>F-06</t>
        </is>
      </c>
      <c r="B10" s="5" t="inlineStr">
        <is>
          <t>U-002</t>
        </is>
      </c>
      <c r="C10" s="4">
        <f>IFERROR(VLOOKUP(B10, '01_USUARIOS'!$A$5:$B$20, 2, FALSE), "-")</f>
        <v/>
      </c>
      <c r="D10" s="4" t="inlineStr">
        <is>
          <t>Arriendo Habitación</t>
        </is>
      </c>
      <c r="E10" s="4" t="inlineStr">
        <is>
          <t>Vivienda</t>
        </is>
      </c>
      <c r="F10" s="6" t="n">
        <v>650000</v>
      </c>
      <c r="G10" s="5" t="n">
        <v>30</v>
      </c>
      <c r="H10" s="5">
        <f>IF(G10&lt;=15, "Quincena 1 (Día 15)", "Fin de Mes (Día 30)")</f>
        <v/>
      </c>
      <c r="I10" s="9" t="inlineStr">
        <is>
          <t>Pendiente</t>
        </is>
      </c>
    </row>
    <row r="11">
      <c r="A11" s="5" t="inlineStr">
        <is>
          <t>F-07</t>
        </is>
      </c>
      <c r="B11" s="5" t="inlineStr">
        <is>
          <t>U-002</t>
        </is>
      </c>
      <c r="C11" s="4">
        <f>IFERROR(VLOOKUP(B11, '01_USUARIOS'!$A$5:$B$20, 2, FALSE), "-")</f>
        <v/>
      </c>
      <c r="D11" s="4" t="inlineStr">
        <is>
          <t>Gimnasio</t>
        </is>
      </c>
      <c r="E11" s="4" t="inlineStr">
        <is>
          <t>Salud</t>
        </is>
      </c>
      <c r="F11" s="6" t="n">
        <v>85000</v>
      </c>
      <c r="G11" s="5" t="n">
        <v>15</v>
      </c>
      <c r="H11" s="5">
        <f>IF(G11&lt;=15, "Quincena 1 (Día 15)", "Fin de Mes (Día 30)")</f>
        <v/>
      </c>
      <c r="I11" s="7" t="inlineStr">
        <is>
          <t>Pagado</t>
        </is>
      </c>
    </row>
    <row r="12">
      <c r="A12" s="5" t="inlineStr">
        <is>
          <t>F-08</t>
        </is>
      </c>
      <c r="B12" s="5" t="inlineStr">
        <is>
          <t>U-003</t>
        </is>
      </c>
      <c r="C12" s="4">
        <f>IFERROR(VLOOKUP(B12, '01_USUARIOS'!$A$5:$B$20, 2, FALSE), "-")</f>
        <v/>
      </c>
      <c r="D12" s="4" t="inlineStr">
        <is>
          <t>Crédito Estudio</t>
        </is>
      </c>
      <c r="E12" s="4" t="inlineStr">
        <is>
          <t>Educación</t>
        </is>
      </c>
      <c r="F12" s="6" t="n">
        <v>320000</v>
      </c>
      <c r="G12" s="5" t="n">
        <v>15</v>
      </c>
      <c r="H12" s="5">
        <f>IF(G12&lt;=15, "Quincena 1 (Día 15)", "Fin de Mes (Día 30)")</f>
        <v/>
      </c>
      <c r="I12" s="7" t="inlineStr">
        <is>
          <t>Pagado</t>
        </is>
      </c>
    </row>
    <row r="13">
      <c r="A13" s="5" t="inlineStr">
        <is>
          <t>F-09</t>
        </is>
      </c>
      <c r="B13" s="5" t="inlineStr">
        <is>
          <t>U-004</t>
        </is>
      </c>
      <c r="C13" s="4">
        <f>IFERROR(VLOOKUP(B13, '01_USUARIOS'!$A$5:$B$20, 2, FALSE), "-")</f>
        <v/>
      </c>
      <c r="D13" s="4" t="inlineStr">
        <is>
          <t>Plan Móvil Claro</t>
        </is>
      </c>
      <c r="E13" s="4" t="inlineStr">
        <is>
          <t>Servicios</t>
        </is>
      </c>
      <c r="F13" s="6" t="n">
        <v>45000</v>
      </c>
      <c r="G13" s="5" t="n">
        <v>30</v>
      </c>
      <c r="H13" s="5">
        <f>IF(G13&lt;=15, "Quincena 1 (Día 15)", "Fin de Mes (Día 30)")</f>
        <v/>
      </c>
      <c r="I13" s="9" t="inlineStr">
        <is>
          <t>Pendiente</t>
        </is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4" customWidth="1" min="3" max="3"/>
    <col width="16" customWidth="1" min="4" max="4"/>
    <col width="28" customWidth="1" min="5" max="5"/>
    <col width="16" customWidth="1" min="6" max="6"/>
    <col width="28" customWidth="1" min="7" max="7"/>
    <col width="27" customWidth="1" min="8" max="8"/>
  </cols>
  <sheetData>
    <row r="1">
      <c r="A1" s="1" t="inlineStr">
        <is>
          <t xml:space="preserve">  PANEL CONSOLIDADO MULTIUSUARIO • FORMULAS 100% GOOGLE SHEETS</t>
        </is>
      </c>
    </row>
    <row r="2"/>
    <row r="3"/>
    <row r="4">
      <c r="A4" s="10" t="inlineStr">
        <is>
          <t>INGRESOS TOTALES GRUPO</t>
        </is>
      </c>
      <c r="C4" s="10" t="inlineStr">
        <is>
          <t>GASTOS TOTALES GRUPO</t>
        </is>
      </c>
      <c r="E4" s="10" t="inlineStr">
        <is>
          <t>SUPERÁVIT NETO COLECTIVO</t>
        </is>
      </c>
      <c r="G4" s="10" t="inlineStr">
        <is>
          <t>TASA DE AHORRO COLECTIVA</t>
        </is>
      </c>
    </row>
    <row r="5">
      <c r="A5" s="11">
        <f>SUMIF('02_MOVIMIENTOS'!E:E, "Ingreso", '02_MOVIMIENTOS'!H:H)</f>
        <v/>
      </c>
      <c r="C5" s="12">
        <f>SUMIF('02_MOVIMIENTOS'!E:E, "Gasto", '02_MOVIMIENTOS'!H:H)</f>
        <v/>
      </c>
      <c r="E5" s="13">
        <f>A5-C5</f>
        <v/>
      </c>
      <c r="G5" s="14">
        <f>IFERROR(E5/A5, 0)</f>
        <v/>
      </c>
    </row>
    <row r="6"/>
    <row r="7"/>
    <row r="8">
      <c r="A8" s="15" t="inlineStr">
        <is>
          <t>DESGLOSE INDIVIDUAL POR PARTICIPANTE</t>
        </is>
      </c>
    </row>
    <row r="9"/>
    <row r="10">
      <c r="A10" s="2" t="inlineStr">
        <is>
          <t>ID_USUARIO</t>
        </is>
      </c>
      <c r="B10" s="2" t="inlineStr">
        <is>
          <t>NOMBRE_PARTICIPANTE</t>
        </is>
      </c>
      <c r="C10" s="2" t="inlineStr">
        <is>
          <t>SALDO_INICIAL</t>
        </is>
      </c>
      <c r="D10" s="2" t="inlineStr">
        <is>
          <t>INGRESOS_MES</t>
        </is>
      </c>
      <c r="E10" s="2" t="inlineStr">
        <is>
          <t>GASTOS_MES</t>
        </is>
      </c>
      <c r="F10" s="2" t="inlineStr">
        <is>
          <t>BALANCE_NETO</t>
        </is>
      </c>
      <c r="G10" s="2" t="inlineStr">
        <is>
          <t>TASA_AHORRO</t>
        </is>
      </c>
      <c r="H10" s="2" t="inlineStr">
        <is>
          <t>SALDO_ACTUAL_DISPONIBLE</t>
        </is>
      </c>
    </row>
    <row r="11">
      <c r="A11" s="5" t="inlineStr">
        <is>
          <t>U-001</t>
        </is>
      </c>
      <c r="B11" s="4">
        <f>IFERROR(VLOOKUP(A11, '01_USUARIOS'!$A$5:$B$20, 2, FALSE), "-")</f>
        <v/>
      </c>
      <c r="C11" s="6">
        <f>IFERROR(VLOOKUP(A11, '01_USUARIOS'!$A$5:$E$20, 5, FALSE), 0)</f>
        <v/>
      </c>
      <c r="D11" s="6">
        <f>SUMIFS('02_MOVIMIENTOS'!$H:$H, '02_MOVIMIENTOS'!$B:$B, A11, '02_MOVIMIENTOS'!$E:$E, "Ingreso")</f>
        <v/>
      </c>
      <c r="E11" s="6">
        <f>SUMIFS('02_MOVIMIENTOS'!$H:$H, '02_MOVIMIENTOS'!$B:$B, A11, '02_MOVIMIENTOS'!$E:$E, "Gasto")</f>
        <v/>
      </c>
      <c r="F11" s="6">
        <f>D11-E11</f>
        <v/>
      </c>
      <c r="G11" s="16">
        <f>IFERROR(F11/D11, 0)</f>
        <v/>
      </c>
      <c r="H11" s="17">
        <f>C11+F11</f>
        <v/>
      </c>
    </row>
    <row r="12">
      <c r="A12" s="5" t="inlineStr">
        <is>
          <t>U-002</t>
        </is>
      </c>
      <c r="B12" s="4">
        <f>IFERROR(VLOOKUP(A12, '01_USUARIOS'!$A$5:$B$20, 2, FALSE), "-")</f>
        <v/>
      </c>
      <c r="C12" s="6">
        <f>IFERROR(VLOOKUP(A12, '01_USUARIOS'!$A$5:$E$20, 5, FALSE), 0)</f>
        <v/>
      </c>
      <c r="D12" s="6">
        <f>SUMIFS('02_MOVIMIENTOS'!$H:$H, '02_MOVIMIENTOS'!$B:$B, A12, '02_MOVIMIENTOS'!$E:$E, "Ingreso")</f>
        <v/>
      </c>
      <c r="E12" s="6">
        <f>SUMIFS('02_MOVIMIENTOS'!$H:$H, '02_MOVIMIENTOS'!$B:$B, A12, '02_MOVIMIENTOS'!$E:$E, "Gasto")</f>
        <v/>
      </c>
      <c r="F12" s="6">
        <f>D12-E12</f>
        <v/>
      </c>
      <c r="G12" s="16">
        <f>IFERROR(F12/D12, 0)</f>
        <v/>
      </c>
      <c r="H12" s="17">
        <f>C12+F12</f>
        <v/>
      </c>
    </row>
    <row r="13">
      <c r="A13" s="5" t="inlineStr">
        <is>
          <t>U-003</t>
        </is>
      </c>
      <c r="B13" s="4">
        <f>IFERROR(VLOOKUP(A13, '01_USUARIOS'!$A$5:$B$20, 2, FALSE), "-")</f>
        <v/>
      </c>
      <c r="C13" s="6">
        <f>IFERROR(VLOOKUP(A13, '01_USUARIOS'!$A$5:$E$20, 5, FALSE), 0)</f>
        <v/>
      </c>
      <c r="D13" s="6">
        <f>SUMIFS('02_MOVIMIENTOS'!$H:$H, '02_MOVIMIENTOS'!$B:$B, A13, '02_MOVIMIENTOS'!$E:$E, "Ingreso")</f>
        <v/>
      </c>
      <c r="E13" s="6">
        <f>SUMIFS('02_MOVIMIENTOS'!$H:$H, '02_MOVIMIENTOS'!$B:$B, A13, '02_MOVIMIENTOS'!$E:$E, "Gasto")</f>
        <v/>
      </c>
      <c r="F13" s="6">
        <f>D13-E13</f>
        <v/>
      </c>
      <c r="G13" s="16">
        <f>IFERROR(F13/D13, 0)</f>
        <v/>
      </c>
      <c r="H13" s="17">
        <f>C13+F13</f>
        <v/>
      </c>
    </row>
    <row r="14">
      <c r="A14" s="5" t="inlineStr">
        <is>
          <t>U-004</t>
        </is>
      </c>
      <c r="B14" s="4">
        <f>IFERROR(VLOOKUP(A14, '01_USUARIOS'!$A$5:$B$20, 2, FALSE), "-")</f>
        <v/>
      </c>
      <c r="C14" s="6">
        <f>IFERROR(VLOOKUP(A14, '01_USUARIOS'!$A$5:$E$20, 5, FALSE), 0)</f>
        <v/>
      </c>
      <c r="D14" s="6">
        <f>SUMIFS('02_MOVIMIENTOS'!$H:$H, '02_MOVIMIENTOS'!$B:$B, A14, '02_MOVIMIENTOS'!$E:$E, "Ingreso")</f>
        <v/>
      </c>
      <c r="E14" s="6">
        <f>SUMIFS('02_MOVIMIENTOS'!$H:$H, '02_MOVIMIENTOS'!$B:$B, A14, '02_MOVIMIENTOS'!$E:$E, "Gasto")</f>
        <v/>
      </c>
      <c r="F14" s="6">
        <f>D14-E14</f>
        <v/>
      </c>
      <c r="G14" s="16">
        <f>IFERROR(F14/D14, 0)</f>
        <v/>
      </c>
      <c r="H14" s="17">
        <f>C14+F14</f>
        <v/>
      </c>
    </row>
    <row r="15">
      <c r="A15" s="18" t="inlineStr">
        <is>
          <t>TOTALES</t>
        </is>
      </c>
      <c r="B15" s="19" t="inlineStr">
        <is>
          <t>Todos los participantes</t>
        </is>
      </c>
      <c r="C15" s="20">
        <f>SUM(C11:C14)</f>
        <v/>
      </c>
      <c r="D15" s="20">
        <f>SUM(D11:D14)</f>
        <v/>
      </c>
      <c r="E15" s="20">
        <f>SUM(E11:E14)</f>
        <v/>
      </c>
      <c r="F15" s="20">
        <f>SUM(F11:F14)</f>
        <v/>
      </c>
      <c r="G15" s="21">
        <f>IFERROR(F15/D15, 0)</f>
        <v/>
      </c>
      <c r="H15" s="20">
        <f>SUM(H11:H14)</f>
        <v/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2" customWidth="1" min="5" max="5"/>
    <col width="12" customWidth="1" min="6" max="6"/>
    <col width="19" customWidth="1" min="7" max="7"/>
  </cols>
  <sheetData>
    <row r="1"/>
    <row r="2">
      <c r="A2" s="2" t="inlineStr">
        <is>
          <t>TIPOS_MOVIMIENTO</t>
        </is>
      </c>
      <c r="C2" s="2" t="inlineStr">
        <is>
          <t>CATEGORIAS_GASTO</t>
        </is>
      </c>
      <c r="E2" s="2" t="inlineStr">
        <is>
          <t>CATEGORIAS_INGRESO</t>
        </is>
      </c>
      <c r="G2" s="2" t="inlineStr">
        <is>
          <t>MEDIOS_PAGO</t>
        </is>
      </c>
    </row>
    <row r="3">
      <c r="A3" s="4" t="inlineStr">
        <is>
          <t>Ingreso</t>
        </is>
      </c>
      <c r="C3" s="4" t="inlineStr">
        <is>
          <t>Alimentación</t>
        </is>
      </c>
      <c r="E3" s="4" t="inlineStr">
        <is>
          <t>Salario</t>
        </is>
      </c>
      <c r="G3" s="4" t="inlineStr">
        <is>
          <t>AyC Colanta</t>
        </is>
      </c>
    </row>
    <row r="4">
      <c r="A4" s="4" t="inlineStr">
        <is>
          <t>Gasto</t>
        </is>
      </c>
      <c r="C4" s="4" t="inlineStr">
        <is>
          <t>Transporte/Moto</t>
        </is>
      </c>
      <c r="E4" s="4" t="inlineStr">
        <is>
          <t>Honorarios</t>
        </is>
      </c>
      <c r="G4" s="4" t="inlineStr">
        <is>
          <t>Nequi</t>
        </is>
      </c>
    </row>
    <row r="5">
      <c r="A5" s="4" t="inlineStr">
        <is>
          <t>Transferencia</t>
        </is>
      </c>
      <c r="C5" s="4" t="inlineStr">
        <is>
          <t>Vivienda/Arriendo</t>
        </is>
      </c>
      <c r="E5" s="4" t="inlineStr">
        <is>
          <t>Venta</t>
        </is>
      </c>
      <c r="G5" s="4" t="inlineStr">
        <is>
          <t>Efectivo</t>
        </is>
      </c>
    </row>
    <row r="6">
      <c r="C6" s="4" t="inlineStr">
        <is>
          <t>Servicios</t>
        </is>
      </c>
      <c r="E6" s="4" t="inlineStr">
        <is>
          <t>Rendimientos</t>
        </is>
      </c>
      <c r="G6" s="4" t="inlineStr">
        <is>
          <t>Bancolombia</t>
        </is>
      </c>
    </row>
    <row r="7">
      <c r="C7" s="4" t="inlineStr">
        <is>
          <t>Salud/Gym</t>
        </is>
      </c>
      <c r="E7" s="4" t="inlineStr">
        <is>
          <t>Préstamo Cobrado</t>
        </is>
      </c>
      <c r="G7" s="4" t="inlineStr">
        <is>
          <t>Daviplata</t>
        </is>
      </c>
    </row>
    <row r="8">
      <c r="C8" s="4" t="inlineStr">
        <is>
          <t>Ocio/Restaurante</t>
        </is>
      </c>
      <c r="E8" s="4" t="inlineStr">
        <is>
          <t>Otros</t>
        </is>
      </c>
      <c r="G8" s="4" t="inlineStr">
        <is>
          <t>Tarjeta Débito</t>
        </is>
      </c>
    </row>
    <row r="9">
      <c r="C9" s="4" t="inlineStr">
        <is>
          <t>Educación</t>
        </is>
      </c>
      <c r="G9" s="4" t="inlineStr">
        <is>
          <t>Tarjeta Crédito</t>
        </is>
      </c>
    </row>
    <row r="10">
      <c r="C10" s="4" t="inlineStr">
        <is>
          <t>Compras</t>
        </is>
      </c>
    </row>
    <row r="11">
      <c r="C11" s="4" t="inlineStr">
        <is>
          <t>Imprevistos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2026-10-22T02:17:07Z</dcterms:created>
  <dcterms:modified xsi:type="dcterms:W3CDTF">2026-10-22T02:17:07Z</dcterms:modified>
</cp:coreProperties>
</file>